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jer (popunjen)" sheetId="1" state="visible" r:id="rId3"/>
    <sheet name="Moj kalendar (prazan)" sheetId="2" state="visible" r:id="rId4"/>
    <sheet name="Upute i omj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<sst xmlns="http://schemas.openxmlformats.org/spreadsheetml/2006/main" count="254" uniqueCount="113">
  <si>
    <t xml:space="preserve">Content kalendar — 30 dana (popunjen primjer)</t>
  </si>
  <si>
    <t xml:space="preserve">Primjer za konzultanta koji prodaje AI implementaciju malim firmama. Zamijeni teme svojima, zadrži omjer pillara.</t>
  </si>
  <si>
    <t xml:space="preserve">Dan</t>
  </si>
  <si>
    <t xml:space="preserve">Platforma</t>
  </si>
  <si>
    <t xml:space="preserve">Format</t>
  </si>
  <si>
    <t xml:space="preserve">Pillar</t>
  </si>
  <si>
    <t xml:space="preserve">Tema</t>
  </si>
  <si>
    <t xml:space="preserve">Hook</t>
  </si>
  <si>
    <t xml:space="preserve">Poziv na akciju</t>
  </si>
  <si>
    <t xml:space="preserve">Status</t>
  </si>
  <si>
    <t xml:space="preserve">LinkedIn</t>
  </si>
  <si>
    <t xml:space="preserve">Post</t>
  </si>
  <si>
    <t xml:space="preserve">Cijena nečinjenja</t>
  </si>
  <si>
    <t xml:space="preserve">Ručni procesi koji se ne vide u troškovima</t>
  </si>
  <si>
    <t xml:space="preserve">Nedokumentiran proces te košta pet dana svaki put kad netko ode na godišnji.</t>
  </si>
  <si>
    <t xml:space="preserve">Pitanje za komentar: koji je to proces kod vas?</t>
  </si>
  <si>
    <t xml:space="preserve">planirano</t>
  </si>
  <si>
    <t xml:space="preserve">Kako to izgleda</t>
  </si>
  <si>
    <t xml:space="preserve">Što znači da proces ima okidač i odredište</t>
  </si>
  <si>
    <t xml:space="preserve">Agent je proces koji ima okidač i odredište. Sve ostalo je asistent.</t>
  </si>
  <si>
    <t xml:space="preserve">Poziv na razgovor od 15 minuta</t>
  </si>
  <si>
    <t xml:space="preserve">Instagram</t>
  </si>
  <si>
    <t xml:space="preserve">Carousel</t>
  </si>
  <si>
    <t xml:space="preserve">Pet koraka od ručnog rada do prve automatizacije</t>
  </si>
  <si>
    <t xml:space="preserve">Prvo odradi ručno dvadeset puta. Tek onda automatiziraj.</t>
  </si>
  <si>
    <t xml:space="preserve">Spremi za kasnije</t>
  </si>
  <si>
    <t xml:space="preserve">Stav i iza kulisa</t>
  </si>
  <si>
    <t xml:space="preserve">Greška koju sam napravio na prvom projektu</t>
  </si>
  <si>
    <t xml:space="preserve">Prvi paket koji sam isporučio bio je tehnički savršen. Klijent ga nije mogao postaviti sam.</t>
  </si>
  <si>
    <t xml:space="preserve">Bez CTA — samo priča</t>
  </si>
  <si>
    <t xml:space="preserve">Newsletter</t>
  </si>
  <si>
    <t xml:space="preserve">Email</t>
  </si>
  <si>
    <t xml:space="preserve">Tri mjesta gdje u malim firmama nestaje vrijeme</t>
  </si>
  <si>
    <t xml:space="preserve">Prošli tjedan sam u tri različite firme vidio isti uski grlo.</t>
  </si>
  <si>
    <t xml:space="preserve">Odgovori na ovaj mail s tvojim slučajem</t>
  </si>
  <si>
    <t xml:space="preserve">—</t>
  </si>
  <si>
    <t xml:space="preserve">Vikend — bez objava</t>
  </si>
  <si>
    <t xml:space="preserve">Vikend — priprema sadržaja za tjedan</t>
  </si>
  <si>
    <t xml:space="preserve">Dokaz</t>
  </si>
  <si>
    <t xml:space="preserve">Prije i poslije: fakturiranje s devet dana na isti dan</t>
  </si>
  <si>
    <t xml:space="preserve">Fakturiranje je kasnilo devet dana. Sada ide isti dan. Trebalo je tri tjedna.</t>
  </si>
  <si>
    <t xml:space="preserve">Pitanje: koliko kod vas prođe od posla do fakture?</t>
  </si>
  <si>
    <t xml:space="preserve">Kako izgleda kvalifikacija upita po pet kriterija</t>
  </si>
  <si>
    <t xml:space="preserve">Polovica upita nema ni budžet ni odlučitelja. Netko iz tima na svaki potroši sat.</t>
  </si>
  <si>
    <t xml:space="preserve">Preuzmi popis kriterija</t>
  </si>
  <si>
    <t xml:space="preserve">Reel</t>
  </si>
  <si>
    <t xml:space="preserve">Zašto AI ne štedi vrijeme većini ljudi</t>
  </si>
  <si>
    <t xml:space="preserve">Koristiš ga kao boljeg Googlea. Pitaš, dobiješ odgovor, zatvoriš tab.</t>
  </si>
  <si>
    <t xml:space="preserve">Prati za nastavak</t>
  </si>
  <si>
    <t xml:space="preserve">Ne radim projekte bez uvodnog razgovora</t>
  </si>
  <si>
    <t xml:space="preserve">Ne pišem ponude ljudima koji ne znaju tko odlučuje. Naučio sam to skupo.</t>
  </si>
  <si>
    <t xml:space="preserve">Pitanje za komentar</t>
  </si>
  <si>
    <t xml:space="preserve">Dvije faze: zašto prva verzija ne smije tražiti programiranje</t>
  </si>
  <si>
    <t xml:space="preserve">Prvi paket koji sam napravio pao je na jednom pitanju: može li ga klijent postaviti sam?</t>
  </si>
  <si>
    <t xml:space="preserve">Odgovori s procesom koji ti najviše smeta</t>
  </si>
  <si>
    <t xml:space="preserve">Vikend — snimanje videa za sljedeća dva tjedna</t>
  </si>
  <si>
    <t xml:space="preserve">Upit koji čeka odgovor dva sata najčešće odlazi</t>
  </si>
  <si>
    <t xml:space="preserve">Izvan sezone svaki upit koji čeka duže od dva sata ode negdje drugdje.</t>
  </si>
  <si>
    <t xml:space="preserve">Poziv na kratki razgovor</t>
  </si>
  <si>
    <t xml:space="preserve">Što se stvarno mijenja nakon mjesec dana</t>
  </si>
  <si>
    <t xml:space="preserve">Nakon mjesec dana najveća razlika nije ušteda. Nego to da se ne mora ništa pamtiti.</t>
  </si>
  <si>
    <t xml:space="preserve">Anatomija prompta koji radi</t>
  </si>
  <si>
    <t xml:space="preserve">Uloga, kontekst, zadatak, format, ograničenja. Bez zadnjeg se gubi bitka.</t>
  </si>
  <si>
    <t xml:space="preserve">Spremi i podijeli s timom</t>
  </si>
  <si>
    <t xml:space="preserve">Ono što ti prodavač alata neće reći</t>
  </si>
  <si>
    <t xml:space="preserve">Ono što ti prodavač alata neće reći: alat je najmanji dio problema.</t>
  </si>
  <si>
    <t xml:space="preserve">Bez CTA</t>
  </si>
  <si>
    <t xml:space="preserve">Case: dvadeset upita, dvije ponude, pa sedam</t>
  </si>
  <si>
    <t xml:space="preserve">Nisu dobili više upita. Dobili su više ponuda iz istog broja upita.</t>
  </si>
  <si>
    <t xml:space="preserve">Odgovori ako želiš isti pregled za svoj slučaj</t>
  </si>
  <si>
    <t xml:space="preserve">Vikend — pregled brojeva prošlog tjedna</t>
  </si>
  <si>
    <t xml:space="preserve">Kapija potvrde: zašto AI ne smije poslati mail sam</t>
  </si>
  <si>
    <t xml:space="preserve">Prvi put kad agent izmisli rok, izgubiš povjerenje tima. Agent tada umire.</t>
  </si>
  <si>
    <t xml:space="preserve">Ponuda koju pišeš četiri sata za nekoga bez budžeta</t>
  </si>
  <si>
    <t xml:space="preserve">Ponuda košta četiri sata. Četvrtina ih ide ljudima koji nikad nisu imali budžet.</t>
  </si>
  <si>
    <t xml:space="preserve">Poziv na razgovor</t>
  </si>
  <si>
    <t xml:space="preserve">Tri stvari koje ne automatiziram</t>
  </si>
  <si>
    <t xml:space="preserve">Tri procesa u svojoj firmi svjesno radim ručno. Evo zašto.</t>
  </si>
  <si>
    <t xml:space="preserve">Prati</t>
  </si>
  <si>
    <t xml:space="preserve">Šest brojeva iz prvih šest mjeseci</t>
  </si>
  <si>
    <t xml:space="preserve">Šest mjeseci, šest brojeva. Dva su me iznenadila.</t>
  </si>
  <si>
    <t xml:space="preserve">Preuzmi pregled</t>
  </si>
  <si>
    <t xml:space="preserve">Što još ne znam nakon godine rada s AI-em</t>
  </si>
  <si>
    <t xml:space="preserve">Nakon godine rada tri stvari mi još nisu jasne. Evo koje.</t>
  </si>
  <si>
    <t xml:space="preserve">Odgovori sa svojim iskustvom</t>
  </si>
  <si>
    <t xml:space="preserve">Vikend — priprema sljedećeg ciklusa</t>
  </si>
  <si>
    <t xml:space="preserve">Rezultat mjeseca i što iz njega slijedi</t>
  </si>
  <si>
    <t xml:space="preserve">Trideset dana objava. Jedan post donio je više upita od ostalih dvadeset zajedno.</t>
  </si>
  <si>
    <t xml:space="preserve">Kako izgleda plan za sljedećih trideset dana</t>
  </si>
  <si>
    <t xml:space="preserve">Isti kalendar, druge teme. Ovako ga sastavljam u dva sata.</t>
  </si>
  <si>
    <t xml:space="preserve">Content kalendar — 30 dana (za tebe)</t>
  </si>
  <si>
    <t xml:space="preserve">Plava polja su tvoja. Prvi red ispod zaglavlja je primjer formata — prepiši ga preko.</t>
  </si>
  <si>
    <t xml:space="preserve">Kako se koristi</t>
  </si>
  <si>
    <t xml:space="preserve">Legenda</t>
  </si>
  <si>
    <t xml:space="preserve">Plava polja i žuta ispuna na listu „Moj kalendar“ su polja koja ti ispunjavaš. Ostalo ne diraj.</t>
  </si>
  <si>
    <t xml:space="preserve">Redoslijed rada</t>
  </si>
  <si>
    <t xml:space="preserve">1) Napiši četiri pillara  2) Odredi omjer za mjesec  3) Rasporedi teme  4) Ostavi dva mjesta prazna za ono što se dogodi.</t>
  </si>
  <si>
    <t xml:space="preserve">Ritam</t>
  </si>
  <si>
    <t xml:space="preserve">Tri do četiri objave tjedno i jedan newsletter. Vikendom ništa — vikend je za pripremu.</t>
  </si>
  <si>
    <t xml:space="preserve">Pravilo</t>
  </si>
  <si>
    <t xml:space="preserve">Kalendar je omjer, ne popis ideja. Ideje se mijenjaju svaki mjesec, omjer ostaje.</t>
  </si>
  <si>
    <t xml:space="preserve">Brojanje po pillaru</t>
  </si>
  <si>
    <t xml:space="preserve">Ciljani udio</t>
  </si>
  <si>
    <t xml:space="preserve">Objava u primjeru</t>
  </si>
  <si>
    <t xml:space="preserve">Objava u mom kalendaru</t>
  </si>
  <si>
    <t xml:space="preserve">Problem i cijena nečinjenja</t>
  </si>
  <si>
    <t xml:space="preserve">30%</t>
  </si>
  <si>
    <t xml:space="preserve">Kako to izgleda u praksi</t>
  </si>
  <si>
    <t xml:space="preserve">Dokaz i rezultati</t>
  </si>
  <si>
    <t xml:space="preserve">20%</t>
  </si>
  <si>
    <t xml:space="preserve">Ukupno objava</t>
  </si>
  <si>
    <t xml:space="preserve">Napomena</t>
  </si>
  <si>
    <t xml:space="preserve">Brojevi u stupcima C i D su formule (COUNTIF) i same se osvježavaju kad mijenjaš stupac Pillar. Ako promijeniš nazive pillara, promijeni ih i u stupcu A ovog lista.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</si>
</sst>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D7A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620"/>
        <bgColor rgb="FF333300"/>
      </patternFill>
    </fill>
    <fill>
      <patternFill patternType="solid">
        <fgColor rgb="FFEEF2EE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D9"/>
      </left>
      <right style="thin">
        <color rgb="FFD8E0D9"/>
      </right>
      <top style="thin">
        <color rgb="FFD8E0D9"/>
      </top>
      <bottom style="thin">
        <color rgb="FFD8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D7A72"/>
      <rgbColor rgb="FF9999FF"/>
      <rgbColor rgb="FF993366"/>
      <rgbColor rgb="FFFFFFCC"/>
      <rgbColor rgb="FFEEF2EE"/>
      <rgbColor rgb="FF660066"/>
      <rgbColor rgb="FFFF8080"/>
      <rgbColor rgb="FF0066CC"/>
      <rgbColor rgb="FFD8E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5" t="s">
        <v>14</v>
      </c>
      <c r="G5" s="5" t="s">
        <v>15</v>
      </c>
      <c r="H5" s="4" t="s">
        <v>16</v>
      </c>
    </row>
    <row r="6" customFormat="false" ht="30" hidden="false" customHeight="true" outlineLevel="0" collapsed="false">
      <c r="A6" s="4" t="n">
        <v>2</v>
      </c>
      <c r="B6" s="4" t="s">
        <v>10</v>
      </c>
      <c r="C6" s="4" t="s">
        <v>11</v>
      </c>
      <c r="D6" s="4" t="s">
        <v>17</v>
      </c>
      <c r="E6" s="5" t="s">
        <v>18</v>
      </c>
      <c r="F6" s="5" t="s">
        <v>19</v>
      </c>
      <c r="G6" s="5" t="s">
        <v>20</v>
      </c>
      <c r="H6" s="4" t="s">
        <v>16</v>
      </c>
    </row>
    <row r="7" customFormat="false" ht="30" hidden="false" customHeight="true" outlineLevel="0" collapsed="false">
      <c r="A7" s="4" t="n">
        <v>3</v>
      </c>
      <c r="B7" s="4" t="s">
        <v>21</v>
      </c>
      <c r="C7" s="4" t="s">
        <v>22</v>
      </c>
      <c r="D7" s="4" t="s">
        <v>17</v>
      </c>
      <c r="E7" s="5" t="s">
        <v>23</v>
      </c>
      <c r="F7" s="5" t="s">
        <v>24</v>
      </c>
      <c r="G7" s="5" t="s">
        <v>25</v>
      </c>
      <c r="H7" s="4" t="s">
        <v>16</v>
      </c>
    </row>
    <row r="8" customFormat="false" ht="30" hidden="false" customHeight="true" outlineLevel="0" collapsed="false">
      <c r="A8" s="4" t="n">
        <v>4</v>
      </c>
      <c r="B8" s="4" t="s">
        <v>10</v>
      </c>
      <c r="C8" s="4" t="s">
        <v>11</v>
      </c>
      <c r="D8" s="4" t="s">
        <v>26</v>
      </c>
      <c r="E8" s="5" t="s">
        <v>27</v>
      </c>
      <c r="F8" s="5" t="s">
        <v>28</v>
      </c>
      <c r="G8" s="5" t="s">
        <v>29</v>
      </c>
      <c r="H8" s="4" t="s">
        <v>16</v>
      </c>
    </row>
    <row r="9" customFormat="false" ht="30" hidden="false" customHeight="true" outlineLevel="0" collapsed="false">
      <c r="A9" s="4" t="n">
        <v>5</v>
      </c>
      <c r="B9" s="4" t="s">
        <v>30</v>
      </c>
      <c r="C9" s="4" t="s">
        <v>31</v>
      </c>
      <c r="D9" s="4" t="s">
        <v>12</v>
      </c>
      <c r="E9" s="5" t="s">
        <v>32</v>
      </c>
      <c r="F9" s="5" t="s">
        <v>33</v>
      </c>
      <c r="G9" s="5" t="s">
        <v>34</v>
      </c>
      <c r="H9" s="4" t="s">
        <v>16</v>
      </c>
    </row>
    <row r="10" customFormat="false" ht="15.75" hidden="false" customHeight="true" outlineLevel="0" collapsed="false">
      <c r="A10" s="6" t="n">
        <v>6</v>
      </c>
      <c r="B10" s="6" t="s">
        <v>35</v>
      </c>
      <c r="C10" s="6" t="s">
        <v>35</v>
      </c>
      <c r="D10" s="6" t="s">
        <v>35</v>
      </c>
      <c r="E10" s="7" t="s">
        <v>36</v>
      </c>
      <c r="F10" s="7" t="s">
        <v>35</v>
      </c>
      <c r="G10" s="7" t="s">
        <v>35</v>
      </c>
      <c r="H10" s="6"/>
    </row>
    <row r="11" customFormat="false" ht="15.75" hidden="false" customHeight="true" outlineLevel="0" collapsed="false">
      <c r="A11" s="6" t="n">
        <v>7</v>
      </c>
      <c r="B11" s="6" t="s">
        <v>35</v>
      </c>
      <c r="C11" s="6" t="s">
        <v>35</v>
      </c>
      <c r="D11" s="6" t="s">
        <v>35</v>
      </c>
      <c r="E11" s="7" t="s">
        <v>37</v>
      </c>
      <c r="F11" s="7" t="s">
        <v>35</v>
      </c>
      <c r="G11" s="7" t="s">
        <v>35</v>
      </c>
      <c r="H11" s="6"/>
    </row>
    <row r="12" customFormat="false" ht="30" hidden="false" customHeight="true" outlineLevel="0" collapsed="false">
      <c r="A12" s="4" t="n">
        <v>8</v>
      </c>
      <c r="B12" s="4" t="s">
        <v>10</v>
      </c>
      <c r="C12" s="4" t="s">
        <v>11</v>
      </c>
      <c r="D12" s="4" t="s">
        <v>38</v>
      </c>
      <c r="E12" s="5" t="s">
        <v>39</v>
      </c>
      <c r="F12" s="5" t="s">
        <v>40</v>
      </c>
      <c r="G12" s="5" t="s">
        <v>41</v>
      </c>
      <c r="H12" s="4" t="s">
        <v>16</v>
      </c>
    </row>
    <row r="13" customFormat="false" ht="30" hidden="false" customHeight="true" outlineLevel="0" collapsed="false">
      <c r="A13" s="4" t="n">
        <v>9</v>
      </c>
      <c r="B13" s="4" t="s">
        <v>10</v>
      </c>
      <c r="C13" s="4" t="s">
        <v>22</v>
      </c>
      <c r="D13" s="4" t="s">
        <v>17</v>
      </c>
      <c r="E13" s="5" t="s">
        <v>42</v>
      </c>
      <c r="F13" s="5" t="s">
        <v>43</v>
      </c>
      <c r="G13" s="5" t="s">
        <v>44</v>
      </c>
      <c r="H13" s="4" t="s">
        <v>16</v>
      </c>
    </row>
    <row r="14" customFormat="false" ht="30" hidden="false" customHeight="true" outlineLevel="0" collapsed="false">
      <c r="A14" s="4" t="n">
        <v>10</v>
      </c>
      <c r="B14" s="4" t="s">
        <v>21</v>
      </c>
      <c r="C14" s="4" t="s">
        <v>45</v>
      </c>
      <c r="D14" s="4" t="s">
        <v>12</v>
      </c>
      <c r="E14" s="5" t="s">
        <v>46</v>
      </c>
      <c r="F14" s="5" t="s">
        <v>47</v>
      </c>
      <c r="G14" s="5" t="s">
        <v>48</v>
      </c>
      <c r="H14" s="4" t="s">
        <v>16</v>
      </c>
    </row>
    <row r="15" customFormat="false" ht="30" hidden="false" customHeight="true" outlineLevel="0" collapsed="false">
      <c r="A15" s="4" t="n">
        <v>11</v>
      </c>
      <c r="B15" s="4" t="s">
        <v>10</v>
      </c>
      <c r="C15" s="4" t="s">
        <v>11</v>
      </c>
      <c r="D15" s="4" t="s">
        <v>26</v>
      </c>
      <c r="E15" s="5" t="s">
        <v>49</v>
      </c>
      <c r="F15" s="5" t="s">
        <v>50</v>
      </c>
      <c r="G15" s="5" t="s">
        <v>51</v>
      </c>
      <c r="H15" s="4" t="s">
        <v>16</v>
      </c>
    </row>
    <row r="16" customFormat="false" ht="30" hidden="false" customHeight="true" outlineLevel="0" collapsed="false">
      <c r="A16" s="4" t="n">
        <v>12</v>
      </c>
      <c r="B16" s="4" t="s">
        <v>30</v>
      </c>
      <c r="C16" s="4" t="s">
        <v>31</v>
      </c>
      <c r="D16" s="4" t="s">
        <v>17</v>
      </c>
      <c r="E16" s="5" t="s">
        <v>52</v>
      </c>
      <c r="F16" s="5" t="s">
        <v>53</v>
      </c>
      <c r="G16" s="5" t="s">
        <v>54</v>
      </c>
      <c r="H16" s="4" t="s">
        <v>16</v>
      </c>
    </row>
    <row r="17" customFormat="false" ht="15.75" hidden="false" customHeight="true" outlineLevel="0" collapsed="false">
      <c r="A17" s="6" t="n">
        <v>13</v>
      </c>
      <c r="B17" s="6" t="s">
        <v>35</v>
      </c>
      <c r="C17" s="6" t="s">
        <v>35</v>
      </c>
      <c r="D17" s="6" t="s">
        <v>35</v>
      </c>
      <c r="E17" s="7" t="s">
        <v>36</v>
      </c>
      <c r="F17" s="7" t="s">
        <v>35</v>
      </c>
      <c r="G17" s="7" t="s">
        <v>35</v>
      </c>
      <c r="H17" s="6"/>
    </row>
    <row r="18" customFormat="false" ht="15.75" hidden="false" customHeight="true" outlineLevel="0" collapsed="false">
      <c r="A18" s="6" t="n">
        <v>14</v>
      </c>
      <c r="B18" s="6" t="s">
        <v>35</v>
      </c>
      <c r="C18" s="6" t="s">
        <v>35</v>
      </c>
      <c r="D18" s="6" t="s">
        <v>35</v>
      </c>
      <c r="E18" s="7" t="s">
        <v>55</v>
      </c>
      <c r="F18" s="7" t="s">
        <v>35</v>
      </c>
      <c r="G18" s="7" t="s">
        <v>35</v>
      </c>
      <c r="H18" s="6"/>
    </row>
    <row r="19" customFormat="false" ht="30" hidden="false" customHeight="true" outlineLevel="0" collapsed="false">
      <c r="A19" s="4" t="n">
        <v>15</v>
      </c>
      <c r="B19" s="4" t="s">
        <v>10</v>
      </c>
      <c r="C19" s="4" t="s">
        <v>11</v>
      </c>
      <c r="D19" s="4" t="s">
        <v>12</v>
      </c>
      <c r="E19" s="5" t="s">
        <v>56</v>
      </c>
      <c r="F19" s="5" t="s">
        <v>57</v>
      </c>
      <c r="G19" s="5" t="s">
        <v>58</v>
      </c>
      <c r="H19" s="4" t="s">
        <v>16</v>
      </c>
    </row>
    <row r="20" customFormat="false" ht="30" hidden="false" customHeight="true" outlineLevel="0" collapsed="false">
      <c r="A20" s="4" t="n">
        <v>16</v>
      </c>
      <c r="B20" s="4" t="s">
        <v>10</v>
      </c>
      <c r="C20" s="4" t="s">
        <v>11</v>
      </c>
      <c r="D20" s="4" t="s">
        <v>38</v>
      </c>
      <c r="E20" s="5" t="s">
        <v>59</v>
      </c>
      <c r="F20" s="5" t="s">
        <v>60</v>
      </c>
      <c r="G20" s="5" t="s">
        <v>51</v>
      </c>
      <c r="H20" s="4" t="s">
        <v>16</v>
      </c>
    </row>
    <row r="21" customFormat="false" ht="30" hidden="false" customHeight="true" outlineLevel="0" collapsed="false">
      <c r="A21" s="4" t="n">
        <v>17</v>
      </c>
      <c r="B21" s="4" t="s">
        <v>21</v>
      </c>
      <c r="C21" s="4" t="s">
        <v>22</v>
      </c>
      <c r="D21" s="4" t="s">
        <v>17</v>
      </c>
      <c r="E21" s="5" t="s">
        <v>61</v>
      </c>
      <c r="F21" s="5" t="s">
        <v>62</v>
      </c>
      <c r="G21" s="5" t="s">
        <v>63</v>
      </c>
      <c r="H21" s="4" t="s">
        <v>16</v>
      </c>
    </row>
    <row r="22" customFormat="false" ht="30" hidden="false" customHeight="true" outlineLevel="0" collapsed="false">
      <c r="A22" s="4" t="n">
        <v>18</v>
      </c>
      <c r="B22" s="4" t="s">
        <v>10</v>
      </c>
      <c r="C22" s="4" t="s">
        <v>11</v>
      </c>
      <c r="D22" s="4" t="s">
        <v>26</v>
      </c>
      <c r="E22" s="5" t="s">
        <v>64</v>
      </c>
      <c r="F22" s="5" t="s">
        <v>65</v>
      </c>
      <c r="G22" s="5" t="s">
        <v>66</v>
      </c>
      <c r="H22" s="4" t="s">
        <v>16</v>
      </c>
    </row>
    <row r="23" customFormat="false" ht="30" hidden="false" customHeight="true" outlineLevel="0" collapsed="false">
      <c r="A23" s="4" t="n">
        <v>19</v>
      </c>
      <c r="B23" s="4" t="s">
        <v>30</v>
      </c>
      <c r="C23" s="4" t="s">
        <v>31</v>
      </c>
      <c r="D23" s="4" t="s">
        <v>38</v>
      </c>
      <c r="E23" s="5" t="s">
        <v>67</v>
      </c>
      <c r="F23" s="5" t="s">
        <v>68</v>
      </c>
      <c r="G23" s="5" t="s">
        <v>69</v>
      </c>
      <c r="H23" s="4" t="s">
        <v>16</v>
      </c>
    </row>
    <row r="24" customFormat="false" ht="15.75" hidden="false" customHeight="true" outlineLevel="0" collapsed="false">
      <c r="A24" s="6" t="n">
        <v>20</v>
      </c>
      <c r="B24" s="6" t="s">
        <v>35</v>
      </c>
      <c r="C24" s="6" t="s">
        <v>35</v>
      </c>
      <c r="D24" s="6" t="s">
        <v>35</v>
      </c>
      <c r="E24" s="7" t="s">
        <v>36</v>
      </c>
      <c r="F24" s="7" t="s">
        <v>35</v>
      </c>
      <c r="G24" s="7" t="s">
        <v>35</v>
      </c>
      <c r="H24" s="6"/>
    </row>
    <row r="25" customFormat="false" ht="15.75" hidden="false" customHeight="true" outlineLevel="0" collapsed="false">
      <c r="A25" s="6" t="n">
        <v>21</v>
      </c>
      <c r="B25" s="6" t="s">
        <v>35</v>
      </c>
      <c r="C25" s="6" t="s">
        <v>35</v>
      </c>
      <c r="D25" s="6" t="s">
        <v>35</v>
      </c>
      <c r="E25" s="7" t="s">
        <v>70</v>
      </c>
      <c r="F25" s="7" t="s">
        <v>35</v>
      </c>
      <c r="G25" s="7" t="s">
        <v>35</v>
      </c>
      <c r="H25" s="6"/>
    </row>
    <row r="26" customFormat="false" ht="30" hidden="false" customHeight="true" outlineLevel="0" collapsed="false">
      <c r="A26" s="4" t="n">
        <v>22</v>
      </c>
      <c r="B26" s="4" t="s">
        <v>10</v>
      </c>
      <c r="C26" s="4" t="s">
        <v>11</v>
      </c>
      <c r="D26" s="4" t="s">
        <v>17</v>
      </c>
      <c r="E26" s="5" t="s">
        <v>71</v>
      </c>
      <c r="F26" s="5" t="s">
        <v>72</v>
      </c>
      <c r="G26" s="5" t="s">
        <v>51</v>
      </c>
      <c r="H26" s="4" t="s">
        <v>16</v>
      </c>
    </row>
    <row r="27" customFormat="false" ht="30" hidden="false" customHeight="true" outlineLevel="0" collapsed="false">
      <c r="A27" s="4" t="n">
        <v>23</v>
      </c>
      <c r="B27" s="4" t="s">
        <v>10</v>
      </c>
      <c r="C27" s="4" t="s">
        <v>11</v>
      </c>
      <c r="D27" s="4" t="s">
        <v>12</v>
      </c>
      <c r="E27" s="5" t="s">
        <v>73</v>
      </c>
      <c r="F27" s="5" t="s">
        <v>74</v>
      </c>
      <c r="G27" s="5" t="s">
        <v>75</v>
      </c>
      <c r="H27" s="4" t="s">
        <v>16</v>
      </c>
    </row>
    <row r="28" customFormat="false" ht="30" hidden="false" customHeight="true" outlineLevel="0" collapsed="false">
      <c r="A28" s="4" t="n">
        <v>24</v>
      </c>
      <c r="B28" s="4" t="s">
        <v>21</v>
      </c>
      <c r="C28" s="4" t="s">
        <v>45</v>
      </c>
      <c r="D28" s="4" t="s">
        <v>26</v>
      </c>
      <c r="E28" s="5" t="s">
        <v>76</v>
      </c>
      <c r="F28" s="5" t="s">
        <v>77</v>
      </c>
      <c r="G28" s="5" t="s">
        <v>78</v>
      </c>
      <c r="H28" s="4" t="s">
        <v>16</v>
      </c>
    </row>
    <row r="29" customFormat="false" ht="30" hidden="false" customHeight="true" outlineLevel="0" collapsed="false">
      <c r="A29" s="4" t="n">
        <v>25</v>
      </c>
      <c r="B29" s="4" t="s">
        <v>10</v>
      </c>
      <c r="C29" s="4" t="s">
        <v>22</v>
      </c>
      <c r="D29" s="4" t="s">
        <v>38</v>
      </c>
      <c r="E29" s="5" t="s">
        <v>79</v>
      </c>
      <c r="F29" s="5" t="s">
        <v>80</v>
      </c>
      <c r="G29" s="5" t="s">
        <v>81</v>
      </c>
      <c r="H29" s="4" t="s">
        <v>16</v>
      </c>
    </row>
    <row r="30" customFormat="false" ht="30" hidden="false" customHeight="true" outlineLevel="0" collapsed="false">
      <c r="A30" s="4" t="n">
        <v>26</v>
      </c>
      <c r="B30" s="4" t="s">
        <v>30</v>
      </c>
      <c r="C30" s="4" t="s">
        <v>31</v>
      </c>
      <c r="D30" s="4" t="s">
        <v>26</v>
      </c>
      <c r="E30" s="5" t="s">
        <v>82</v>
      </c>
      <c r="F30" s="5" t="s">
        <v>83</v>
      </c>
      <c r="G30" s="5" t="s">
        <v>84</v>
      </c>
      <c r="H30" s="4" t="s">
        <v>16</v>
      </c>
    </row>
    <row r="31" customFormat="false" ht="15.75" hidden="false" customHeight="true" outlineLevel="0" collapsed="false">
      <c r="A31" s="6" t="n">
        <v>27</v>
      </c>
      <c r="B31" s="6" t="s">
        <v>35</v>
      </c>
      <c r="C31" s="6" t="s">
        <v>35</v>
      </c>
      <c r="D31" s="6" t="s">
        <v>35</v>
      </c>
      <c r="E31" s="7" t="s">
        <v>36</v>
      </c>
      <c r="F31" s="7" t="s">
        <v>35</v>
      </c>
      <c r="G31" s="7" t="s">
        <v>35</v>
      </c>
      <c r="H31" s="6"/>
    </row>
    <row r="32" customFormat="false" ht="15.75" hidden="false" customHeight="true" outlineLevel="0" collapsed="false">
      <c r="A32" s="6" t="n">
        <v>28</v>
      </c>
      <c r="B32" s="6" t="s">
        <v>35</v>
      </c>
      <c r="C32" s="6" t="s">
        <v>35</v>
      </c>
      <c r="D32" s="6" t="s">
        <v>35</v>
      </c>
      <c r="E32" s="7" t="s">
        <v>85</v>
      </c>
      <c r="F32" s="7" t="s">
        <v>35</v>
      </c>
      <c r="G32" s="7" t="s">
        <v>35</v>
      </c>
      <c r="H32" s="6"/>
    </row>
    <row r="33" customFormat="false" ht="30" hidden="false" customHeight="true" outlineLevel="0" collapsed="false">
      <c r="A33" s="4" t="n">
        <v>29</v>
      </c>
      <c r="B33" s="4" t="s">
        <v>10</v>
      </c>
      <c r="C33" s="4" t="s">
        <v>11</v>
      </c>
      <c r="D33" s="4" t="s">
        <v>38</v>
      </c>
      <c r="E33" s="5" t="s">
        <v>86</v>
      </c>
      <c r="F33" s="5" t="s">
        <v>87</v>
      </c>
      <c r="G33" s="5" t="s">
        <v>51</v>
      </c>
      <c r="H33" s="4" t="s">
        <v>16</v>
      </c>
    </row>
    <row r="34" customFormat="false" ht="30" hidden="false" customHeight="true" outlineLevel="0" collapsed="false">
      <c r="A34" s="4" t="n">
        <v>30</v>
      </c>
      <c r="B34" s="4" t="s">
        <v>10</v>
      </c>
      <c r="C34" s="4" t="s">
        <v>11</v>
      </c>
      <c r="D34" s="4" t="s">
        <v>17</v>
      </c>
      <c r="E34" s="5" t="s">
        <v>88</v>
      </c>
      <c r="F34" s="5" t="s">
        <v>89</v>
      </c>
      <c r="G34" s="5" t="s">
        <v>75</v>
      </c>
      <c r="H34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8" t="n">
        <v>1</v>
      </c>
      <c r="B5" s="9" t="s">
        <v>10</v>
      </c>
      <c r="C5" s="9" t="s">
        <v>11</v>
      </c>
      <c r="D5" s="9" t="s">
        <v>12</v>
      </c>
      <c r="E5" s="10" t="s">
        <v>13</v>
      </c>
      <c r="F5" s="10" t="s">
        <v>14</v>
      </c>
      <c r="G5" s="10" t="s">
        <v>51</v>
      </c>
      <c r="H5" s="8" t="s">
        <v>16</v>
      </c>
    </row>
    <row r="6" customFormat="false" ht="27.75" hidden="false" customHeight="true" outlineLevel="0" collapsed="false">
      <c r="A6" s="9" t="n">
        <v>2</v>
      </c>
      <c r="B6" s="11"/>
      <c r="C6" s="11"/>
      <c r="D6" s="11"/>
      <c r="E6" s="12"/>
      <c r="F6" s="12"/>
      <c r="G6" s="12"/>
      <c r="H6" s="11"/>
    </row>
    <row r="7" customFormat="false" ht="27.75" hidden="false" customHeight="true" outlineLevel="0" collapsed="false">
      <c r="A7" s="9" t="n">
        <v>3</v>
      </c>
      <c r="B7" s="11"/>
      <c r="C7" s="11"/>
      <c r="D7" s="11"/>
      <c r="E7" s="12"/>
      <c r="F7" s="12"/>
      <c r="G7" s="12"/>
      <c r="H7" s="11"/>
    </row>
    <row r="8" customFormat="false" ht="27.75" hidden="false" customHeight="true" outlineLevel="0" collapsed="false">
      <c r="A8" s="9" t="n">
        <v>4</v>
      </c>
      <c r="B8" s="11"/>
      <c r="C8" s="11"/>
      <c r="D8" s="11"/>
      <c r="E8" s="12"/>
      <c r="F8" s="12"/>
      <c r="G8" s="12"/>
      <c r="H8" s="11"/>
    </row>
    <row r="9" customFormat="false" ht="27.75" hidden="false" customHeight="true" outlineLevel="0" collapsed="false">
      <c r="A9" s="9" t="n">
        <v>5</v>
      </c>
      <c r="B9" s="11"/>
      <c r="C9" s="11"/>
      <c r="D9" s="11"/>
      <c r="E9" s="12"/>
      <c r="F9" s="12"/>
      <c r="G9" s="12"/>
      <c r="H9" s="11"/>
    </row>
    <row r="10" customFormat="false" ht="27.75" hidden="false" customHeight="true" outlineLevel="0" collapsed="false">
      <c r="A10" s="9" t="n">
        <v>6</v>
      </c>
      <c r="B10" s="11"/>
      <c r="C10" s="11"/>
      <c r="D10" s="11"/>
      <c r="E10" s="12"/>
      <c r="F10" s="12"/>
      <c r="G10" s="12"/>
      <c r="H10" s="11"/>
    </row>
    <row r="11" customFormat="false" ht="27.75" hidden="false" customHeight="true" outlineLevel="0" collapsed="false">
      <c r="A11" s="9" t="n">
        <v>7</v>
      </c>
      <c r="B11" s="11"/>
      <c r="C11" s="11"/>
      <c r="D11" s="11"/>
      <c r="E11" s="12"/>
      <c r="F11" s="12"/>
      <c r="G11" s="12"/>
      <c r="H11" s="11"/>
    </row>
    <row r="12" customFormat="false" ht="27.75" hidden="false" customHeight="true" outlineLevel="0" collapsed="false">
      <c r="A12" s="9" t="n">
        <v>8</v>
      </c>
      <c r="B12" s="11"/>
      <c r="C12" s="11"/>
      <c r="D12" s="11"/>
      <c r="E12" s="12"/>
      <c r="F12" s="12"/>
      <c r="G12" s="12"/>
      <c r="H12" s="11"/>
    </row>
    <row r="13" customFormat="false" ht="27.75" hidden="false" customHeight="true" outlineLevel="0" collapsed="false">
      <c r="A13" s="9" t="n">
        <v>9</v>
      </c>
      <c r="B13" s="11"/>
      <c r="C13" s="11"/>
      <c r="D13" s="11"/>
      <c r="E13" s="12"/>
      <c r="F13" s="12"/>
      <c r="G13" s="12"/>
      <c r="H13" s="11"/>
    </row>
    <row r="14" customFormat="false" ht="27.75" hidden="false" customHeight="true" outlineLevel="0" collapsed="false">
      <c r="A14" s="9" t="n">
        <v>10</v>
      </c>
      <c r="B14" s="11"/>
      <c r="C14" s="11"/>
      <c r="D14" s="11"/>
      <c r="E14" s="12"/>
      <c r="F14" s="12"/>
      <c r="G14" s="12"/>
      <c r="H14" s="11"/>
    </row>
    <row r="15" customFormat="false" ht="27.75" hidden="false" customHeight="true" outlineLevel="0" collapsed="false">
      <c r="A15" s="9" t="n">
        <v>11</v>
      </c>
      <c r="B15" s="11"/>
      <c r="C15" s="11"/>
      <c r="D15" s="11"/>
      <c r="E15" s="12"/>
      <c r="F15" s="12"/>
      <c r="G15" s="12"/>
      <c r="H15" s="11"/>
    </row>
    <row r="16" customFormat="false" ht="27.75" hidden="false" customHeight="true" outlineLevel="0" collapsed="false">
      <c r="A16" s="9" t="n">
        <v>12</v>
      </c>
      <c r="B16" s="11"/>
      <c r="C16" s="11"/>
      <c r="D16" s="11"/>
      <c r="E16" s="12"/>
      <c r="F16" s="12"/>
      <c r="G16" s="12"/>
      <c r="H16" s="11"/>
    </row>
    <row r="17" customFormat="false" ht="27.75" hidden="false" customHeight="true" outlineLevel="0" collapsed="false">
      <c r="A17" s="9" t="n">
        <v>13</v>
      </c>
      <c r="B17" s="11"/>
      <c r="C17" s="11"/>
      <c r="D17" s="11"/>
      <c r="E17" s="12"/>
      <c r="F17" s="12"/>
      <c r="G17" s="12"/>
      <c r="H17" s="11"/>
    </row>
    <row r="18" customFormat="false" ht="27.75" hidden="false" customHeight="true" outlineLevel="0" collapsed="false">
      <c r="A18" s="9" t="n">
        <v>14</v>
      </c>
      <c r="B18" s="11"/>
      <c r="C18" s="11"/>
      <c r="D18" s="11"/>
      <c r="E18" s="12"/>
      <c r="F18" s="12"/>
      <c r="G18" s="12"/>
      <c r="H18" s="11"/>
    </row>
    <row r="19" customFormat="false" ht="27.75" hidden="false" customHeight="true" outlineLevel="0" collapsed="false">
      <c r="A19" s="9" t="n">
        <v>15</v>
      </c>
      <c r="B19" s="11"/>
      <c r="C19" s="11"/>
      <c r="D19" s="11"/>
      <c r="E19" s="12"/>
      <c r="F19" s="12"/>
      <c r="G19" s="12"/>
      <c r="H19" s="11"/>
    </row>
    <row r="20" customFormat="false" ht="27.75" hidden="false" customHeight="true" outlineLevel="0" collapsed="false">
      <c r="A20" s="9" t="n">
        <v>16</v>
      </c>
      <c r="B20" s="11"/>
      <c r="C20" s="11"/>
      <c r="D20" s="11"/>
      <c r="E20" s="12"/>
      <c r="F20" s="12"/>
      <c r="G20" s="12"/>
      <c r="H20" s="11"/>
    </row>
    <row r="21" customFormat="false" ht="27.75" hidden="false" customHeight="true" outlineLevel="0" collapsed="false">
      <c r="A21" s="9" t="n">
        <v>17</v>
      </c>
      <c r="B21" s="11"/>
      <c r="C21" s="11"/>
      <c r="D21" s="11"/>
      <c r="E21" s="12"/>
      <c r="F21" s="12"/>
      <c r="G21" s="12"/>
      <c r="H21" s="11"/>
    </row>
    <row r="22" customFormat="false" ht="27.75" hidden="false" customHeight="true" outlineLevel="0" collapsed="false">
      <c r="A22" s="9" t="n">
        <v>18</v>
      </c>
      <c r="B22" s="11"/>
      <c r="C22" s="11"/>
      <c r="D22" s="11"/>
      <c r="E22" s="12"/>
      <c r="F22" s="12"/>
      <c r="G22" s="12"/>
      <c r="H22" s="11"/>
    </row>
    <row r="23" customFormat="false" ht="27.75" hidden="false" customHeight="true" outlineLevel="0" collapsed="false">
      <c r="A23" s="9" t="n">
        <v>19</v>
      </c>
      <c r="B23" s="11"/>
      <c r="C23" s="11"/>
      <c r="D23" s="11"/>
      <c r="E23" s="12"/>
      <c r="F23" s="12"/>
      <c r="G23" s="12"/>
      <c r="H23" s="11"/>
    </row>
    <row r="24" customFormat="false" ht="27.75" hidden="false" customHeight="true" outlineLevel="0" collapsed="false">
      <c r="A24" s="9" t="n">
        <v>20</v>
      </c>
      <c r="B24" s="11"/>
      <c r="C24" s="11"/>
      <c r="D24" s="11"/>
      <c r="E24" s="12"/>
      <c r="F24" s="12"/>
      <c r="G24" s="12"/>
      <c r="H24" s="11"/>
    </row>
    <row r="25" customFormat="false" ht="27.75" hidden="false" customHeight="true" outlineLevel="0" collapsed="false">
      <c r="A25" s="9" t="n">
        <v>21</v>
      </c>
      <c r="B25" s="11"/>
      <c r="C25" s="11"/>
      <c r="D25" s="11"/>
      <c r="E25" s="12"/>
      <c r="F25" s="12"/>
      <c r="G25" s="12"/>
      <c r="H25" s="11"/>
    </row>
    <row r="26" customFormat="false" ht="27.75" hidden="false" customHeight="true" outlineLevel="0" collapsed="false">
      <c r="A26" s="9" t="n">
        <v>22</v>
      </c>
      <c r="B26" s="11"/>
      <c r="C26" s="11"/>
      <c r="D26" s="11"/>
      <c r="E26" s="12"/>
      <c r="F26" s="12"/>
      <c r="G26" s="12"/>
      <c r="H26" s="11"/>
    </row>
    <row r="27" customFormat="false" ht="27.75" hidden="false" customHeight="true" outlineLevel="0" collapsed="false">
      <c r="A27" s="9" t="n">
        <v>23</v>
      </c>
      <c r="B27" s="11"/>
      <c r="C27" s="11"/>
      <c r="D27" s="11"/>
      <c r="E27" s="12"/>
      <c r="F27" s="12"/>
      <c r="G27" s="12"/>
      <c r="H27" s="11"/>
    </row>
    <row r="28" customFormat="false" ht="27.75" hidden="false" customHeight="true" outlineLevel="0" collapsed="false">
      <c r="A28" s="9" t="n">
        <v>24</v>
      </c>
      <c r="B28" s="11"/>
      <c r="C28" s="11"/>
      <c r="D28" s="11"/>
      <c r="E28" s="12"/>
      <c r="F28" s="12"/>
      <c r="G28" s="12"/>
      <c r="H28" s="11"/>
    </row>
    <row r="29" customFormat="false" ht="27.75" hidden="false" customHeight="true" outlineLevel="0" collapsed="false">
      <c r="A29" s="9" t="n">
        <v>25</v>
      </c>
      <c r="B29" s="11"/>
      <c r="C29" s="11"/>
      <c r="D29" s="11"/>
      <c r="E29" s="12"/>
      <c r="F29" s="12"/>
      <c r="G29" s="12"/>
      <c r="H29" s="11"/>
    </row>
    <row r="30" customFormat="false" ht="27.75" hidden="false" customHeight="true" outlineLevel="0" collapsed="false">
      <c r="A30" s="9" t="n">
        <v>26</v>
      </c>
      <c r="B30" s="11"/>
      <c r="C30" s="11"/>
      <c r="D30" s="11"/>
      <c r="E30" s="12"/>
      <c r="F30" s="12"/>
      <c r="G30" s="12"/>
      <c r="H30" s="11"/>
    </row>
    <row r="31" customFormat="false" ht="27.75" hidden="false" customHeight="true" outlineLevel="0" collapsed="false">
      <c r="A31" s="9" t="n">
        <v>27</v>
      </c>
      <c r="B31" s="11"/>
      <c r="C31" s="11"/>
      <c r="D31" s="11"/>
      <c r="E31" s="12"/>
      <c r="F31" s="12"/>
      <c r="G31" s="12"/>
      <c r="H31" s="11"/>
    </row>
    <row r="32" customFormat="false" ht="27.75" hidden="false" customHeight="true" outlineLevel="0" collapsed="false">
      <c r="A32" s="9" t="n">
        <v>28</v>
      </c>
      <c r="B32" s="11"/>
      <c r="C32" s="11"/>
      <c r="D32" s="11"/>
      <c r="E32" s="12"/>
      <c r="F32" s="12"/>
      <c r="G32" s="12"/>
      <c r="H32" s="11"/>
    </row>
    <row r="33" customFormat="false" ht="27.75" hidden="false" customHeight="true" outlineLevel="0" collapsed="false">
      <c r="A33" s="9" t="n">
        <v>29</v>
      </c>
      <c r="B33" s="11"/>
      <c r="C33" s="11"/>
      <c r="D33" s="11"/>
      <c r="E33" s="12"/>
      <c r="F33" s="12"/>
      <c r="G33" s="12"/>
      <c r="H33" s="11"/>
    </row>
    <row r="34" customFormat="false" ht="27.75" hidden="false" customHeight="true" outlineLevel="0" collapsed="false">
      <c r="A34" s="9" t="n">
        <v>30</v>
      </c>
      <c r="B34" s="11"/>
      <c r="C34" s="11"/>
      <c r="D34" s="11"/>
      <c r="E34" s="12"/>
      <c r="F34" s="12"/>
      <c r="G34" s="12"/>
      <c r="H3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74"/>
  </cols>
  <sheetData>
    <row r="1" customFormat="false" ht="17.35" hidden="false" customHeight="false" outlineLevel="0" collapsed="false">
      <c r="A1" s="1" t="s">
        <v>92</v>
      </c>
    </row>
    <row r="3" customFormat="false" ht="30" hidden="false" customHeight="true" outlineLevel="0" collapsed="false">
      <c r="A3" s="13" t="s">
        <v>93</v>
      </c>
      <c r="D3" s="14" t="s">
        <v>94</v>
      </c>
    </row>
    <row r="4" customFormat="false" ht="30" hidden="false" customHeight="true" outlineLevel="0" collapsed="false">
      <c r="A4" s="13" t="s">
        <v>95</v>
      </c>
      <c r="D4" s="14" t="s">
        <v>96</v>
      </c>
    </row>
    <row r="5" customFormat="false" ht="30" hidden="false" customHeight="true" outlineLevel="0" collapsed="false">
      <c r="A5" s="13" t="s">
        <v>97</v>
      </c>
      <c r="D5" s="14" t="s">
        <v>98</v>
      </c>
    </row>
    <row r="6" customFormat="false" ht="30" hidden="false" customHeight="true" outlineLevel="0" collapsed="false">
      <c r="A6" s="13" t="s">
        <v>99</v>
      </c>
      <c r="D6" s="14" t="s">
        <v>100</v>
      </c>
    </row>
    <row r="8" customFormat="false" ht="15" hidden="false" customHeight="false" outlineLevel="0" collapsed="false">
      <c r="A8" s="15" t="s">
        <v>101</v>
      </c>
    </row>
    <row r="9" customFormat="false" ht="15" hidden="false" customHeight="false" outlineLevel="0" collapsed="false">
      <c r="A9" s="16" t="s">
        <v>5</v>
      </c>
      <c r="B9" s="16" t="s">
        <v>102</v>
      </c>
      <c r="C9" s="16" t="s">
        <v>103</v>
      </c>
      <c r="D9" s="16" t="s">
        <v>104</v>
      </c>
    </row>
    <row r="10" customFormat="false" ht="15" hidden="false" customHeight="false" outlineLevel="0" collapsed="false">
      <c r="A10" s="17" t="s">
        <v>105</v>
      </c>
      <c r="B10" s="17" t="s">
        <v>106</v>
      </c>
      <c r="C10" s="17" t="n">
        <f aca="false">COUNTIF('Primjer (popunjen)'!D5:D34,"Problem i cijena nečinjenja")</f>
        <v>0</v>
      </c>
      <c r="D10" s="17" t="n">
        <f aca="false">COUNTIF('Moj kalendar (prazan)'!D5:D34,"Problem i cijena nečinjenja")</f>
        <v>0</v>
      </c>
    </row>
    <row r="11" customFormat="false" ht="15" hidden="false" customHeight="false" outlineLevel="0" collapsed="false">
      <c r="A11" s="17" t="s">
        <v>107</v>
      </c>
      <c r="B11" s="17" t="s">
        <v>106</v>
      </c>
      <c r="C11" s="17" t="n">
        <f aca="false">COUNTIF('Primjer (popunjen)'!D5:D34,"Kako to izgleda u praksi")</f>
        <v>0</v>
      </c>
      <c r="D11" s="17" t="n">
        <f aca="false">COUNTIF('Moj kalendar (prazan)'!D5:D34,"Kako to izgleda u praksi")</f>
        <v>0</v>
      </c>
    </row>
    <row r="12" customFormat="false" ht="15" hidden="false" customHeight="false" outlineLevel="0" collapsed="false">
      <c r="A12" s="17" t="s">
        <v>108</v>
      </c>
      <c r="B12" s="17" t="s">
        <v>109</v>
      </c>
      <c r="C12" s="17" t="n">
        <f aca="false">COUNTIF('Primjer (popunjen)'!D5:D34,"Dokaz i rezultati")</f>
        <v>0</v>
      </c>
      <c r="D12" s="17" t="n">
        <f aca="false">COUNTIF('Moj kalendar (prazan)'!D5:D34,"Dokaz i rezultati")</f>
        <v>0</v>
      </c>
    </row>
    <row r="13" customFormat="false" ht="15" hidden="false" customHeight="false" outlineLevel="0" collapsed="false">
      <c r="A13" s="17" t="s">
        <v>26</v>
      </c>
      <c r="B13" s="17" t="s">
        <v>109</v>
      </c>
      <c r="C13" s="17" t="n">
        <f aca="false">COUNTIF('Primjer (popunjen)'!D5:D34,"Stav i iza kulisa")</f>
        <v>5</v>
      </c>
      <c r="D13" s="17" t="n">
        <f aca="false">COUNTIF('Moj kalendar (prazan)'!D5:D34,"Stav i iza kulisa")</f>
        <v>0</v>
      </c>
    </row>
    <row r="14" customFormat="false" ht="15" hidden="false" customHeight="false" outlineLevel="0" collapsed="false">
      <c r="A14" s="18" t="s">
        <v>110</v>
      </c>
      <c r="B14" s="19"/>
      <c r="C14" s="18" t="n">
        <f aca="false">SUM(C10:C13)</f>
        <v>5</v>
      </c>
      <c r="D14" s="18" t="n">
        <f aca="false">SUM(D10:D13)</f>
        <v>0</v>
      </c>
    </row>
    <row r="16" customFormat="false" ht="31.5" hidden="false" customHeight="true" outlineLevel="0" collapsed="false">
      <c r="A16" s="13" t="s">
        <v>111</v>
      </c>
      <c r="D16" s="1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2026-09-06T17:20:56Z</dcterms:created>
  <dc:creator>openpyxl</dc:creator>
  <dc:description/>
  <dc:language>en-US</dc:language>
  <cp:lastModifiedBy/>
  <dcterms:modified xsi:type="dcterms:W3CDTF">2026-09-06T17:20:56Z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