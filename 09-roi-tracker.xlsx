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ute" sheetId="1" state="visible" r:id="rId3"/>
    <sheet name="Procesi" sheetId="2" state="visible" r:id="rId4"/>
    <sheet name="Mjesečno" sheetId="3" state="visible" r:id="rId5"/>
    <sheet name="Sažeta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<sst xmlns="http://schemas.openxmlformats.org/spreadsheetml/2006/main" count="86" uniqueCount="84">
  <si>
    <t xml:space="preserve">ROI Tracker — AI sustav</t>
  </si>
  <si>
    <t xml:space="preserve">GoThrive AI Academy · Sve AI tajne · Modul 9</t>
  </si>
  <si>
    <t xml:space="preserve">Čemu služi</t>
  </si>
  <si>
    <t xml:space="preserve">Da rasprava o tome je li AI vrijedio ne završi na dojmovima. Dva lista, dvanaest brojeva, jedan odgovor.</t>
  </si>
  <si>
    <t xml:space="preserve">Legenda</t>
  </si>
  <si>
    <t xml:space="preserve">Plava polja sa žutom ispunom su tvoja — njih ispunjavaš. Crni brojevi su formule i sami se računaju. Ne diraj ih.</t>
  </si>
  <si>
    <t xml:space="preserve">Redoslijed</t>
  </si>
  <si>
    <t xml:space="preserve">1) Ispuni 'Vrijednost sata' na ovom listu.  2) Za svaki proces upiši redak na listu 'Procesi'.  3) Svakog mjeseca upiši jedan redak na list 'Mjesečno'.  4) List 'Sažetak' čitaš, ne popunjavaš.</t>
  </si>
  <si>
    <t xml:space="preserve">Vrijednost sata</t>
  </si>
  <si>
    <t xml:space="preserve">Koliko ti stvarno vrijedi sat vremena. Za vlasnika: prihod po satu, ne satnica zaposlenika. Za zaposlenika: bruto trošak sata.</t>
  </si>
  <si>
    <t xml:space="preserve">Minute PRIJE</t>
  </si>
  <si>
    <t xml:space="preserve">Koliko je proces trajao prije, realno. Uključi i prekid rada i traženje podataka, ne samo čisto vrijeme.</t>
  </si>
  <si>
    <t xml:space="preserve">Minute SADA</t>
  </si>
  <si>
    <t xml:space="preserve">Koliko traje sada, s AI-em. Uključi vrijeme pregleda i ispravljanja — to je i dalje tvoje vrijeme.</t>
  </si>
  <si>
    <t xml:space="preserve">Trošak postavljanja</t>
  </si>
  <si>
    <t xml:space="preserve">Sati koje si potrošio/potrošila na postavljanje. Jednokratno. Ovo je ono što se mora vratiti.</t>
  </si>
  <si>
    <t xml:space="preserve">Važno</t>
  </si>
  <si>
    <t xml:space="preserve">Procjena je uvijek optimistična. Nakon prvog mjeseca vrati se i ispravi 'Minute SADA' na stvarnu vrijednost.</t>
  </si>
  <si>
    <t xml:space="preserve">Što NE mjeriti</t>
  </si>
  <si>
    <t xml:space="preserve">Broj alata, broj agenata, broj promptova. To nisu rezultati, to su aktivnosti.</t>
  </si>
  <si>
    <t xml:space="preserve">Vrijednost sata (EUR)</t>
  </si>
  <si>
    <t xml:space="preserve">Ovo je jedino polje s ovog lista koje ulazi u izračune. Zamijeni ga svojim brojem.</t>
  </si>
  <si>
    <t xml:space="preserve">Procesi u AI sustavu</t>
  </si>
  <si>
    <t xml:space="preserve">Plava polja sa žutom ispunom ispunjavaš. Stupci G, H, K i L su formule.</t>
  </si>
  <si>
    <t xml:space="preserve">Proces</t>
  </si>
  <si>
    <t xml:space="preserve">Vlasnik</t>
  </si>
  <si>
    <t xml:space="preserve">Faza</t>
  </si>
  <si>
    <t xml:space="preserve">Puta mjesečno</t>
  </si>
  <si>
    <t xml:space="preserve">Min PRIJE</t>
  </si>
  <si>
    <t xml:space="preserve">Min SADA</t>
  </si>
  <si>
    <t xml:space="preserve">Ušteda h/mj</t>
  </si>
  <si>
    <t xml:space="preserve">Ušteda EUR/mj</t>
  </si>
  <si>
    <t xml:space="preserve">Postavljanje (h)</t>
  </si>
  <si>
    <t xml:space="preserve">Trošak alata EUR/mj</t>
  </si>
  <si>
    <t xml:space="preserve">Neto EUR/mj</t>
  </si>
  <si>
    <t xml:space="preserve">Povrat (mj)</t>
  </si>
  <si>
    <t xml:space="preserve">Bilješke sa sastanaka</t>
  </si>
  <si>
    <t xml:space="preserve">Ana</t>
  </si>
  <si>
    <t xml:space="preserve">Obrada upita s weba</t>
  </si>
  <si>
    <t xml:space="preserve">ja</t>
  </si>
  <si>
    <t xml:space="preserve">Tjedni pregled</t>
  </si>
  <si>
    <t xml:space="preserve">UKUPNO</t>
  </si>
  <si>
    <t xml:space="preserve">Napomena</t>
  </si>
  <si>
    <t xml:space="preserve">Prva tri retka su primjer — prepiši ih preko svojim procesima. Stupac L (povrat) računa za koliko se mjeseci vrati vrijeme uloženo u postavljanje. Ako je iznad 6, proces vjerojatno nije bio vrijedan automatizacije.</t>
  </si>
  <si>
    <t xml:space="preserve">Mjesečno praćenje</t>
  </si>
  <si>
    <t xml:space="preserve">Jedan redak mjesečno. Stupci C i E su formule.</t>
  </si>
  <si>
    <t xml:space="preserve">Mjesec</t>
  </si>
  <si>
    <t xml:space="preserve">Ušteđeno h</t>
  </si>
  <si>
    <t xml:space="preserve">Vrijednost EUR</t>
  </si>
  <si>
    <t xml:space="preserve">Trošak alata EUR</t>
  </si>
  <si>
    <t xml:space="preserve">Neto EUR</t>
  </si>
  <si>
    <t xml:space="preserve">Bilješka</t>
  </si>
  <si>
    <t xml:space="preserve">rujan 2026</t>
  </si>
  <si>
    <t xml:space="preserve">Primjer. Prepiši preko svojim podacima.</t>
  </si>
  <si>
    <t xml:space="preserve">Sažetak</t>
  </si>
  <si>
    <t xml:space="preserve">Ovaj list se ne popunjava — čita se.</t>
  </si>
  <si>
    <t xml:space="preserve">Procesa u sustavu</t>
  </si>
  <si>
    <t xml:space="preserve">Koliko procesa je upisano na listu Procesi</t>
  </si>
  <si>
    <t xml:space="preserve">Ušteda po procjeni (h/mj)</t>
  </si>
  <si>
    <t xml:space="preserve">Zbroj iz stupca G — procjena, ne mjerenje</t>
  </si>
  <si>
    <t xml:space="preserve">Ušteda po procjeni (EUR/mj)</t>
  </si>
  <si>
    <t xml:space="preserve">Ušteđeni sati × vrijednost sata</t>
  </si>
  <si>
    <t xml:space="preserve">Trošak alata (EUR/mj)</t>
  </si>
  <si>
    <t xml:space="preserve">Zbroj mjesečnih troškova alata po procesu</t>
  </si>
  <si>
    <t xml:space="preserve">Neto po procjeni (EUR/mj)</t>
  </si>
  <si>
    <t xml:space="preserve">Ušteda minus trošak alata</t>
  </si>
  <si>
    <t xml:space="preserve">Uloženo u postavljanje (h)</t>
  </si>
  <si>
    <t xml:space="preserve">Jednokratno vrijeme postavljanja, svi procesi</t>
  </si>
  <si>
    <t xml:space="preserve">Uloženo u postavljanje (EUR)</t>
  </si>
  <si>
    <t xml:space="preserve">Vrijeme postavljanja × vrijednost sata</t>
  </si>
  <si>
    <t xml:space="preserve">Povrat ulaganja (mjeseci)</t>
  </si>
  <si>
    <t xml:space="preserve">Za koliko se mjeseci vrati vrijeme postavljanja</t>
  </si>
  <si>
    <t xml:space="preserve">Stvarno mjereno (h, ukupno)</t>
  </si>
  <si>
    <t xml:space="preserve">Zbroj s lista Mjesečno — ovo je mjerenje, ne procjena</t>
  </si>
  <si>
    <t xml:space="preserve">Stvarno mjereno (neto EUR, ukupno)</t>
  </si>
  <si>
    <t xml:space="preserve">Ovo je broj koji vrijedi u razgovoru s knjigovođom</t>
  </si>
  <si>
    <t xml:space="preserve">Mjeseci praćenja</t>
  </si>
  <si>
    <t xml:space="preserve">Koliko mjeseci je upisano</t>
  </si>
  <si>
    <t xml:space="preserve">Prosjek po mjesecu (neto EUR)</t>
  </si>
  <si>
    <t xml:space="preserve">Stvarni neto podijeljen s brojem mjeseci</t>
  </si>
  <si>
    <t xml:space="preserve">Kako čitati</t>
  </si>
  <si>
    <t xml:space="preserve">Procjena (gornji dio) služi za odluku hoćeš li nešto raditi. Mjerenje (donji dio) služi za odgovor je li vrijedilo.</t>
  </si>
  <si>
    <t xml:space="preserve">Ako se procjena i mjerenje razlikuju više od 30%, procjena je bila optimistična — vrati se na list Procesi i ispravi 'Min SADA'.</t>
  </si>
  <si>
    <t xml:space="preserve">Povrat iznad 6 mjeseci je znak da proces nije bio vrijedan automatizacije. Bolje je to priznati nego nastaviti.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</si>
</sst>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EUR&quot;"/>
    <numFmt numFmtId="166" formatCode="#,##0.0&quot; h&quot;"/>
    <numFmt numFmtId="167" formatCode="#,##0.0&quot; mj&quot;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D7A7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B2620"/>
        <bgColor rgb="FF333300"/>
      </patternFill>
    </fill>
    <fill>
      <patternFill patternType="solid">
        <fgColor rgb="FFEEF2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D9"/>
      </left>
      <right style="thin">
        <color rgb="FFD8E0D9"/>
      </right>
      <top style="thin">
        <color rgb="FFD8E0D9"/>
      </top>
      <bottom style="thin">
        <color rgb="FFD8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D7A72"/>
      <rgbColor rgb="FF9999FF"/>
      <rgbColor rgb="FF993366"/>
      <rgbColor rgb="FFFFFFCC"/>
      <rgbColor rgb="FFEEF2EE"/>
      <rgbColor rgb="FF660066"/>
      <rgbColor rgb="FFFF8080"/>
      <rgbColor rgb="FF0066CC"/>
      <rgbColor rgb="FFD8E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3" t="s">
        <v>20</v>
      </c>
      <c r="B14" s="5" t="n">
        <v>40</v>
      </c>
    </row>
    <row r="15" customFormat="false" ht="15" hidden="false" customHeight="false" outlineLevel="0" collapsed="false">
      <c r="B1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0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</row>
    <row r="5" customFormat="false" ht="25.5" hidden="false" customHeight="true" outlineLevel="0" collapsed="false">
      <c r="A5" s="7" t="s">
        <v>36</v>
      </c>
      <c r="B5" s="8" t="s">
        <v>37</v>
      </c>
      <c r="C5" s="8" t="n">
        <v>1</v>
      </c>
      <c r="D5" s="8" t="n">
        <v>40</v>
      </c>
      <c r="E5" s="8" t="n">
        <v>30</v>
      </c>
      <c r="F5" s="8" t="n">
        <v>8</v>
      </c>
      <c r="G5" s="9" t="n">
        <f aca="false">IFERROR(IF(D5="","",D5*(E5-F5)/60),"")</f>
        <v>14.6666666666667</v>
      </c>
      <c r="H5" s="10" t="n">
        <f aca="false">IFERROR(IF(G5="","",G5*Upute!$B$14),"")</f>
        <v>586.666666666667</v>
      </c>
      <c r="I5" s="11" t="n">
        <v>3</v>
      </c>
      <c r="J5" s="5" t="n">
        <v>0</v>
      </c>
      <c r="K5" s="10" t="n">
        <f aca="false">IFERROR(IF(H5="","",H5-J5),"")</f>
        <v>586.666666666667</v>
      </c>
      <c r="L5" s="12" t="n">
        <f aca="false">IFERROR(IF(OR(K5="",K5&lt;=0),"",I5*Upute!$B$14/K5),"")</f>
        <v>0.204545454545455</v>
      </c>
    </row>
    <row r="6" customFormat="false" ht="25.5" hidden="false" customHeight="true" outlineLevel="0" collapsed="false">
      <c r="A6" s="7" t="s">
        <v>38</v>
      </c>
      <c r="B6" s="8" t="s">
        <v>39</v>
      </c>
      <c r="C6" s="8" t="n">
        <v>1</v>
      </c>
      <c r="D6" s="8" t="n">
        <v>60</v>
      </c>
      <c r="E6" s="8" t="n">
        <v>12</v>
      </c>
      <c r="F6" s="8" t="n">
        <v>4</v>
      </c>
      <c r="G6" s="9" t="n">
        <f aca="false">IFERROR(IF(D6="","",D6*(E6-F6)/60),"")</f>
        <v>8</v>
      </c>
      <c r="H6" s="10" t="n">
        <f aca="false">IFERROR(IF(G6="","",G6*Upute!$B$14),"")</f>
        <v>320</v>
      </c>
      <c r="I6" s="11" t="n">
        <v>3</v>
      </c>
      <c r="J6" s="5" t="n">
        <v>0</v>
      </c>
      <c r="K6" s="10" t="n">
        <f aca="false">IFERROR(IF(H6="","",H6-J6),"")</f>
        <v>320</v>
      </c>
      <c r="L6" s="12" t="n">
        <f aca="false">IFERROR(IF(OR(K6="",K6&lt;=0),"",I6*Upute!$B$14/K6),"")</f>
        <v>0.375</v>
      </c>
    </row>
    <row r="7" customFormat="false" ht="25.5" hidden="false" customHeight="true" outlineLevel="0" collapsed="false">
      <c r="A7" s="7" t="s">
        <v>40</v>
      </c>
      <c r="B7" s="8" t="s">
        <v>39</v>
      </c>
      <c r="C7" s="8" t="n">
        <v>2</v>
      </c>
      <c r="D7" s="8" t="n">
        <v>4</v>
      </c>
      <c r="E7" s="8" t="n">
        <v>45</v>
      </c>
      <c r="F7" s="8" t="n">
        <v>10</v>
      </c>
      <c r="G7" s="9" t="n">
        <f aca="false">IFERROR(IF(D7="","",D7*(E7-F7)/60),"")</f>
        <v>2.33333333333333</v>
      </c>
      <c r="H7" s="10" t="n">
        <f aca="false">IFERROR(IF(G7="","",G7*Upute!$B$14),"")</f>
        <v>93.3333333333333</v>
      </c>
      <c r="I7" s="11" t="n">
        <v>5</v>
      </c>
      <c r="J7" s="5" t="n">
        <v>9</v>
      </c>
      <c r="K7" s="10" t="n">
        <f aca="false">IFERROR(IF(H7="","",H7-J7),"")</f>
        <v>84.3333333333333</v>
      </c>
      <c r="L7" s="12" t="n">
        <f aca="false">IFERROR(IF(OR(K7="",K7&lt;=0),"",I7*Upute!$B$14/K7),"")</f>
        <v>2.37154150197628</v>
      </c>
    </row>
    <row r="8" customFormat="false" ht="25.5" hidden="false" customHeight="true" outlineLevel="0" collapsed="false">
      <c r="A8" s="7"/>
      <c r="B8" s="8"/>
      <c r="C8" s="8"/>
      <c r="D8" s="8"/>
      <c r="E8" s="8"/>
      <c r="F8" s="8"/>
      <c r="G8" s="9" t="str">
        <f aca="false">IFERROR(IF(D8="","",D8*(E8-F8)/60),"")</f>
        <v/>
      </c>
      <c r="H8" s="10" t="str">
        <f aca="false">IFERROR(IF(G8="","",G8*Upute!$B$14),"")</f>
        <v/>
      </c>
      <c r="I8" s="11"/>
      <c r="J8" s="5"/>
      <c r="K8" s="10" t="str">
        <f aca="false">IFERROR(IF(H8="","",H8-J8),"")</f>
        <v/>
      </c>
      <c r="L8" s="12" t="str">
        <f aca="false">IFERROR(IF(OR(K8="",K8&lt;=0),"",I8*Upute!$B$14/K8),"")</f>
        <v/>
      </c>
    </row>
    <row r="9" customFormat="false" ht="25.5" hidden="false" customHeight="true" outlineLevel="0" collapsed="false">
      <c r="A9" s="7"/>
      <c r="B9" s="8"/>
      <c r="C9" s="8"/>
      <c r="D9" s="8"/>
      <c r="E9" s="8"/>
      <c r="F9" s="8"/>
      <c r="G9" s="9" t="str">
        <f aca="false">IFERROR(IF(D9="","",D9*(E9-F9)/60),"")</f>
        <v/>
      </c>
      <c r="H9" s="10" t="str">
        <f aca="false">IFERROR(IF(G9="","",G9*Upute!$B$14),"")</f>
        <v/>
      </c>
      <c r="I9" s="11"/>
      <c r="J9" s="5"/>
      <c r="K9" s="10" t="str">
        <f aca="false">IFERROR(IF(H9="","",H9-J9),"")</f>
        <v/>
      </c>
      <c r="L9" s="12" t="str">
        <f aca="false">IFERROR(IF(OR(K9="",K9&lt;=0),"",I9*Upute!$B$14/K9),"")</f>
        <v/>
      </c>
    </row>
    <row r="10" customFormat="false" ht="25.5" hidden="false" customHeight="true" outlineLevel="0" collapsed="false">
      <c r="A10" s="7"/>
      <c r="B10" s="8"/>
      <c r="C10" s="8"/>
      <c r="D10" s="8"/>
      <c r="E10" s="8"/>
      <c r="F10" s="8"/>
      <c r="G10" s="9" t="str">
        <f aca="false">IFERROR(IF(D10="","",D10*(E10-F10)/60),"")</f>
        <v/>
      </c>
      <c r="H10" s="10" t="str">
        <f aca="false">IFERROR(IF(G10="","",G10*Upute!$B$14),"")</f>
        <v/>
      </c>
      <c r="I10" s="11"/>
      <c r="J10" s="5"/>
      <c r="K10" s="10" t="str">
        <f aca="false">IFERROR(IF(H10="","",H10-J10),"")</f>
        <v/>
      </c>
      <c r="L10" s="12" t="str">
        <f aca="false">IFERROR(IF(OR(K10="",K10&lt;=0),"",I10*Upute!$B$14/K10),"")</f>
        <v/>
      </c>
    </row>
    <row r="11" customFormat="false" ht="25.5" hidden="false" customHeight="true" outlineLevel="0" collapsed="false">
      <c r="A11" s="7"/>
      <c r="B11" s="8"/>
      <c r="C11" s="8"/>
      <c r="D11" s="8"/>
      <c r="E11" s="8"/>
      <c r="F11" s="8"/>
      <c r="G11" s="9" t="str">
        <f aca="false">IFERROR(IF(D11="","",D11*(E11-F11)/60),"")</f>
        <v/>
      </c>
      <c r="H11" s="10" t="str">
        <f aca="false">IFERROR(IF(G11="","",G11*Upute!$B$14),"")</f>
        <v/>
      </c>
      <c r="I11" s="11"/>
      <c r="J11" s="5"/>
      <c r="K11" s="10" t="str">
        <f aca="false">IFERROR(IF(H11="","",H11-J11),"")</f>
        <v/>
      </c>
      <c r="L11" s="12" t="str">
        <f aca="false">IFERROR(IF(OR(K11="",K11&lt;=0),"",I11*Upute!$B$14/K11),"")</f>
        <v/>
      </c>
    </row>
    <row r="12" customFormat="false" ht="25.5" hidden="false" customHeight="true" outlineLevel="0" collapsed="false">
      <c r="A12" s="7"/>
      <c r="B12" s="8"/>
      <c r="C12" s="8"/>
      <c r="D12" s="8"/>
      <c r="E12" s="8"/>
      <c r="F12" s="8"/>
      <c r="G12" s="9" t="str">
        <f aca="false">IFERROR(IF(D12="","",D12*(E12-F12)/60),"")</f>
        <v/>
      </c>
      <c r="H12" s="10" t="str">
        <f aca="false">IFERROR(IF(G12="","",G12*Upute!$B$14),"")</f>
        <v/>
      </c>
      <c r="I12" s="11"/>
      <c r="J12" s="5"/>
      <c r="K12" s="10" t="str">
        <f aca="false">IFERROR(IF(H12="","",H12-J12),"")</f>
        <v/>
      </c>
      <c r="L12" s="12" t="str">
        <f aca="false">IFERROR(IF(OR(K12="",K12&lt;=0),"",I12*Upute!$B$14/K12),"")</f>
        <v/>
      </c>
    </row>
    <row r="13" customFormat="false" ht="25.5" hidden="false" customHeight="true" outlineLevel="0" collapsed="false">
      <c r="A13" s="7"/>
      <c r="B13" s="8"/>
      <c r="C13" s="8"/>
      <c r="D13" s="8"/>
      <c r="E13" s="8"/>
      <c r="F13" s="8"/>
      <c r="G13" s="9" t="str">
        <f aca="false">IFERROR(IF(D13="","",D13*(E13-F13)/60),"")</f>
        <v/>
      </c>
      <c r="H13" s="10" t="str">
        <f aca="false">IFERROR(IF(G13="","",G13*Upute!$B$14),"")</f>
        <v/>
      </c>
      <c r="I13" s="11"/>
      <c r="J13" s="5"/>
      <c r="K13" s="10" t="str">
        <f aca="false">IFERROR(IF(H13="","",H13-J13),"")</f>
        <v/>
      </c>
      <c r="L13" s="12" t="str">
        <f aca="false">IFERROR(IF(OR(K13="",K13&lt;=0),"",I13*Upute!$B$14/K13),"")</f>
        <v/>
      </c>
    </row>
    <row r="14" customFormat="false" ht="25.5" hidden="false" customHeight="true" outlineLevel="0" collapsed="false">
      <c r="A14" s="7"/>
      <c r="B14" s="8"/>
      <c r="C14" s="8"/>
      <c r="D14" s="8"/>
      <c r="E14" s="8"/>
      <c r="F14" s="8"/>
      <c r="G14" s="9" t="str">
        <f aca="false">IFERROR(IF(D14="","",D14*(E14-F14)/60),"")</f>
        <v/>
      </c>
      <c r="H14" s="10" t="str">
        <f aca="false">IFERROR(IF(G14="","",G14*Upute!$B$14),"")</f>
        <v/>
      </c>
      <c r="I14" s="11"/>
      <c r="J14" s="5"/>
      <c r="K14" s="10" t="str">
        <f aca="false">IFERROR(IF(H14="","",H14-J14),"")</f>
        <v/>
      </c>
      <c r="L14" s="12" t="str">
        <f aca="false">IFERROR(IF(OR(K14="",K14&lt;=0),"",I14*Upute!$B$14/K14),"")</f>
        <v/>
      </c>
    </row>
    <row r="15" customFormat="false" ht="25.5" hidden="false" customHeight="true" outlineLevel="0" collapsed="false">
      <c r="A15" s="7"/>
      <c r="B15" s="8"/>
      <c r="C15" s="8"/>
      <c r="D15" s="8"/>
      <c r="E15" s="8"/>
      <c r="F15" s="8"/>
      <c r="G15" s="9" t="str">
        <f aca="false">IFERROR(IF(D15="","",D15*(E15-F15)/60),"")</f>
        <v/>
      </c>
      <c r="H15" s="10" t="str">
        <f aca="false">IFERROR(IF(G15="","",G15*Upute!$B$14),"")</f>
        <v/>
      </c>
      <c r="I15" s="11"/>
      <c r="J15" s="5"/>
      <c r="K15" s="10" t="str">
        <f aca="false">IFERROR(IF(H15="","",H15-J15),"")</f>
        <v/>
      </c>
      <c r="L15" s="12" t="str">
        <f aca="false">IFERROR(IF(OR(K15="",K15&lt;=0),"",I15*Upute!$B$14/K15),"")</f>
        <v/>
      </c>
    </row>
    <row r="16" customFormat="false" ht="25.5" hidden="false" customHeight="true" outlineLevel="0" collapsed="false">
      <c r="A16" s="7"/>
      <c r="B16" s="8"/>
      <c r="C16" s="8"/>
      <c r="D16" s="8"/>
      <c r="E16" s="8"/>
      <c r="F16" s="8"/>
      <c r="G16" s="9" t="str">
        <f aca="false">IFERROR(IF(D16="","",D16*(E16-F16)/60),"")</f>
        <v/>
      </c>
      <c r="H16" s="10" t="str">
        <f aca="false">IFERROR(IF(G16="","",G16*Upute!$B$14),"")</f>
        <v/>
      </c>
      <c r="I16" s="11"/>
      <c r="J16" s="5"/>
      <c r="K16" s="10" t="str">
        <f aca="false">IFERROR(IF(H16="","",H16-J16),"")</f>
        <v/>
      </c>
      <c r="L16" s="12" t="str">
        <f aca="false">IFERROR(IF(OR(K16="",K16&lt;=0),"",I16*Upute!$B$14/K16),"")</f>
        <v/>
      </c>
    </row>
    <row r="17" customFormat="false" ht="25.5" hidden="false" customHeight="true" outlineLevel="0" collapsed="false">
      <c r="A17" s="7"/>
      <c r="B17" s="8"/>
      <c r="C17" s="8"/>
      <c r="D17" s="8"/>
      <c r="E17" s="8"/>
      <c r="F17" s="8"/>
      <c r="G17" s="9" t="str">
        <f aca="false">IFERROR(IF(D17="","",D17*(E17-F17)/60),"")</f>
        <v/>
      </c>
      <c r="H17" s="10" t="str">
        <f aca="false">IFERROR(IF(G17="","",G17*Upute!$B$14),"")</f>
        <v/>
      </c>
      <c r="I17" s="11"/>
      <c r="J17" s="5"/>
      <c r="K17" s="10" t="str">
        <f aca="false">IFERROR(IF(H17="","",H17-J17),"")</f>
        <v/>
      </c>
      <c r="L17" s="12" t="str">
        <f aca="false">IFERROR(IF(OR(K17="",K17&lt;=0),"",I17*Upute!$B$14/K17),"")</f>
        <v/>
      </c>
    </row>
    <row r="18" customFormat="false" ht="25.5" hidden="false" customHeight="true" outlineLevel="0" collapsed="false">
      <c r="A18" s="7"/>
      <c r="B18" s="8"/>
      <c r="C18" s="8"/>
      <c r="D18" s="8"/>
      <c r="E18" s="8"/>
      <c r="F18" s="8"/>
      <c r="G18" s="9" t="str">
        <f aca="false">IFERROR(IF(D18="","",D18*(E18-F18)/60),"")</f>
        <v/>
      </c>
      <c r="H18" s="10" t="str">
        <f aca="false">IFERROR(IF(G18="","",G18*Upute!$B$14),"")</f>
        <v/>
      </c>
      <c r="I18" s="11"/>
      <c r="J18" s="5"/>
      <c r="K18" s="10" t="str">
        <f aca="false">IFERROR(IF(H18="","",H18-J18),"")</f>
        <v/>
      </c>
      <c r="L18" s="12" t="str">
        <f aca="false">IFERROR(IF(OR(K18="",K18&lt;=0),"",I18*Upute!$B$14/K18),"")</f>
        <v/>
      </c>
    </row>
    <row r="19" customFormat="false" ht="25.5" hidden="false" customHeight="true" outlineLevel="0" collapsed="false">
      <c r="A19" s="7"/>
      <c r="B19" s="8"/>
      <c r="C19" s="8"/>
      <c r="D19" s="8"/>
      <c r="E19" s="8"/>
      <c r="F19" s="8"/>
      <c r="G19" s="9" t="str">
        <f aca="false">IFERROR(IF(D19="","",D19*(E19-F19)/60),"")</f>
        <v/>
      </c>
      <c r="H19" s="10" t="str">
        <f aca="false">IFERROR(IF(G19="","",G19*Upute!$B$14),"")</f>
        <v/>
      </c>
      <c r="I19" s="11"/>
      <c r="J19" s="5"/>
      <c r="K19" s="10" t="str">
        <f aca="false">IFERROR(IF(H19="","",H19-J19),"")</f>
        <v/>
      </c>
      <c r="L19" s="12" t="str">
        <f aca="false">IFERROR(IF(OR(K19="",K19&lt;=0),"",I19*Upute!$B$14/K19),"")</f>
        <v/>
      </c>
    </row>
    <row r="20" customFormat="false" ht="25.5" hidden="false" customHeight="true" outlineLevel="0" collapsed="false">
      <c r="A20" s="7"/>
      <c r="B20" s="8"/>
      <c r="C20" s="8"/>
      <c r="D20" s="8"/>
      <c r="E20" s="8"/>
      <c r="F20" s="8"/>
      <c r="G20" s="9" t="str">
        <f aca="false">IFERROR(IF(D20="","",D20*(E20-F20)/60),"")</f>
        <v/>
      </c>
      <c r="H20" s="10" t="str">
        <f aca="false">IFERROR(IF(G20="","",G20*Upute!$B$14),"")</f>
        <v/>
      </c>
      <c r="I20" s="11"/>
      <c r="J20" s="5"/>
      <c r="K20" s="10" t="str">
        <f aca="false">IFERROR(IF(H20="","",H20-J20),"")</f>
        <v/>
      </c>
      <c r="L20" s="12" t="str">
        <f aca="false">IFERROR(IF(OR(K20="",K20&lt;=0),"",I20*Upute!$B$14/K20),"")</f>
        <v/>
      </c>
    </row>
    <row r="21" customFormat="false" ht="25.5" hidden="false" customHeight="true" outlineLevel="0" collapsed="false">
      <c r="A21" s="7"/>
      <c r="B21" s="8"/>
      <c r="C21" s="8"/>
      <c r="D21" s="8"/>
      <c r="E21" s="8"/>
      <c r="F21" s="8"/>
      <c r="G21" s="9" t="str">
        <f aca="false">IFERROR(IF(D21="","",D21*(E21-F21)/60),"")</f>
        <v/>
      </c>
      <c r="H21" s="10" t="str">
        <f aca="false">IFERROR(IF(G21="","",G21*Upute!$B$14),"")</f>
        <v/>
      </c>
      <c r="I21" s="11"/>
      <c r="J21" s="5"/>
      <c r="K21" s="10" t="str">
        <f aca="false">IFERROR(IF(H21="","",H21-J21),"")</f>
        <v/>
      </c>
      <c r="L21" s="12" t="str">
        <f aca="false">IFERROR(IF(OR(K21="",K21&lt;=0),"",I21*Upute!$B$14/K21),"")</f>
        <v/>
      </c>
    </row>
    <row r="22" customFormat="false" ht="25.5" hidden="false" customHeight="true" outlineLevel="0" collapsed="false">
      <c r="A22" s="7"/>
      <c r="B22" s="8"/>
      <c r="C22" s="8"/>
      <c r="D22" s="8"/>
      <c r="E22" s="8"/>
      <c r="F22" s="8"/>
      <c r="G22" s="9" t="str">
        <f aca="false">IFERROR(IF(D22="","",D22*(E22-F22)/60),"")</f>
        <v/>
      </c>
      <c r="H22" s="10" t="str">
        <f aca="false">IFERROR(IF(G22="","",G22*Upute!$B$14),"")</f>
        <v/>
      </c>
      <c r="I22" s="11"/>
      <c r="J22" s="5"/>
      <c r="K22" s="10" t="str">
        <f aca="false">IFERROR(IF(H22="","",H22-J22),"")</f>
        <v/>
      </c>
      <c r="L22" s="12" t="str">
        <f aca="false">IFERROR(IF(OR(K22="",K22&lt;=0),"",I22*Upute!$B$14/K22),"")</f>
        <v/>
      </c>
    </row>
    <row r="23" customFormat="false" ht="25.5" hidden="false" customHeight="true" outlineLevel="0" collapsed="false">
      <c r="A23" s="7"/>
      <c r="B23" s="8"/>
      <c r="C23" s="8"/>
      <c r="D23" s="8"/>
      <c r="E23" s="8"/>
      <c r="F23" s="8"/>
      <c r="G23" s="9" t="str">
        <f aca="false">IFERROR(IF(D23="","",D23*(E23-F23)/60),"")</f>
        <v/>
      </c>
      <c r="H23" s="10" t="str">
        <f aca="false">IFERROR(IF(G23="","",G23*Upute!$B$14),"")</f>
        <v/>
      </c>
      <c r="I23" s="11"/>
      <c r="J23" s="5"/>
      <c r="K23" s="10" t="str">
        <f aca="false">IFERROR(IF(H23="","",H23-J23),"")</f>
        <v/>
      </c>
      <c r="L23" s="12" t="str">
        <f aca="false">IFERROR(IF(OR(K23="",K23&lt;=0),"",I23*Upute!$B$14/K23),"")</f>
        <v/>
      </c>
    </row>
    <row r="24" customFormat="false" ht="25.5" hidden="false" customHeight="true" outlineLevel="0" collapsed="false">
      <c r="A24" s="7"/>
      <c r="B24" s="8"/>
      <c r="C24" s="8"/>
      <c r="D24" s="8"/>
      <c r="E24" s="8"/>
      <c r="F24" s="8"/>
      <c r="G24" s="9" t="str">
        <f aca="false">IFERROR(IF(D24="","",D24*(E24-F24)/60),"")</f>
        <v/>
      </c>
      <c r="H24" s="10" t="str">
        <f aca="false">IFERROR(IF(G24="","",G24*Upute!$B$14),"")</f>
        <v/>
      </c>
      <c r="I24" s="11"/>
      <c r="J24" s="5"/>
      <c r="K24" s="10" t="str">
        <f aca="false">IFERROR(IF(H24="","",H24-J24),"")</f>
        <v/>
      </c>
      <c r="L24" s="12" t="str">
        <f aca="false">IFERROR(IF(OR(K24="",K24&lt;=0),"",I24*Upute!$B$14/K24),"")</f>
        <v/>
      </c>
    </row>
    <row r="25" customFormat="false" ht="15" hidden="false" customHeight="false" outlineLevel="0" collapsed="false">
      <c r="A25" s="13" t="s">
        <v>41</v>
      </c>
      <c r="B25" s="14"/>
      <c r="C25" s="14"/>
      <c r="D25" s="14"/>
      <c r="E25" s="14"/>
      <c r="F25" s="14"/>
      <c r="G25" s="15" t="n">
        <f aca="false">SUM(G5:G24)</f>
        <v>25</v>
      </c>
      <c r="H25" s="16" t="n">
        <f aca="false">SUM(H5:H24)</f>
        <v>1000</v>
      </c>
      <c r="I25" s="13" t="n">
        <f aca="false">SUM(I5:I24)</f>
        <v>11</v>
      </c>
      <c r="J25" s="16" t="n">
        <f aca="false">SUM(J5:J24)</f>
        <v>9</v>
      </c>
      <c r="K25" s="16" t="n">
        <f aca="false">SUM(K5:K24)</f>
        <v>991</v>
      </c>
      <c r="L25" s="14"/>
    </row>
    <row r="27" customFormat="false" ht="43.5" hidden="false" customHeight="true" outlineLevel="0" collapsed="false">
      <c r="A27" s="3" t="s">
        <v>42</v>
      </c>
      <c r="B27" s="17" t="s">
        <v>43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</row>
  </sheetData>
  <mergeCells count="1">
    <mergeCell ref="B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</row>
    <row r="5" customFormat="false" ht="24" hidden="false" customHeight="true" outlineLevel="0" collapsed="false">
      <c r="A5" s="8" t="s">
        <v>52</v>
      </c>
      <c r="B5" s="8" t="n">
        <v>18</v>
      </c>
      <c r="C5" s="10" t="n">
        <f aca="false">IFERROR(IF(B5="","",B5*Upute!$B$14),"")</f>
        <v>720</v>
      </c>
      <c r="D5" s="18" t="n">
        <v>45</v>
      </c>
      <c r="E5" s="10" t="n">
        <f aca="false">IFERROR(IF(C5="","",C5-D5),"")</f>
        <v>675</v>
      </c>
      <c r="F5" s="7" t="s">
        <v>53</v>
      </c>
    </row>
    <row r="6" customFormat="false" ht="24" hidden="false" customHeight="true" outlineLevel="0" collapsed="false">
      <c r="A6" s="8"/>
      <c r="B6" s="8"/>
      <c r="C6" s="10" t="str">
        <f aca="false">IFERROR(IF(B6="","",B6*Upute!$B$14),"")</f>
        <v/>
      </c>
      <c r="D6" s="18"/>
      <c r="E6" s="10" t="str">
        <f aca="false">IFERROR(IF(C6="","",C6-D6),"")</f>
        <v/>
      </c>
      <c r="F6" s="7"/>
    </row>
    <row r="7" customFormat="false" ht="24" hidden="false" customHeight="true" outlineLevel="0" collapsed="false">
      <c r="A7" s="8"/>
      <c r="B7" s="8"/>
      <c r="C7" s="10" t="str">
        <f aca="false">IFERROR(IF(B7="","",B7*Upute!$B$14),"")</f>
        <v/>
      </c>
      <c r="D7" s="18"/>
      <c r="E7" s="10" t="str">
        <f aca="false">IFERROR(IF(C7="","",C7-D7),"")</f>
        <v/>
      </c>
      <c r="F7" s="7"/>
    </row>
    <row r="8" customFormat="false" ht="24" hidden="false" customHeight="true" outlineLevel="0" collapsed="false">
      <c r="A8" s="8"/>
      <c r="B8" s="8"/>
      <c r="C8" s="10" t="str">
        <f aca="false">IFERROR(IF(B8="","",B8*Upute!$B$14),"")</f>
        <v/>
      </c>
      <c r="D8" s="18"/>
      <c r="E8" s="10" t="str">
        <f aca="false">IFERROR(IF(C8="","",C8-D8),"")</f>
        <v/>
      </c>
      <c r="F8" s="7"/>
    </row>
    <row r="9" customFormat="false" ht="24" hidden="false" customHeight="true" outlineLevel="0" collapsed="false">
      <c r="A9" s="8"/>
      <c r="B9" s="8"/>
      <c r="C9" s="10" t="str">
        <f aca="false">IFERROR(IF(B9="","",B9*Upute!$B$14),"")</f>
        <v/>
      </c>
      <c r="D9" s="18"/>
      <c r="E9" s="10" t="str">
        <f aca="false">IFERROR(IF(C9="","",C9-D9),"")</f>
        <v/>
      </c>
      <c r="F9" s="7"/>
    </row>
    <row r="10" customFormat="false" ht="24" hidden="false" customHeight="true" outlineLevel="0" collapsed="false">
      <c r="A10" s="8"/>
      <c r="B10" s="8"/>
      <c r="C10" s="10" t="str">
        <f aca="false">IFERROR(IF(B10="","",B10*Upute!$B$14),"")</f>
        <v/>
      </c>
      <c r="D10" s="18"/>
      <c r="E10" s="10" t="str">
        <f aca="false">IFERROR(IF(C10="","",C10-D10),"")</f>
        <v/>
      </c>
      <c r="F10" s="7"/>
    </row>
    <row r="11" customFormat="false" ht="24" hidden="false" customHeight="true" outlineLevel="0" collapsed="false">
      <c r="A11" s="8"/>
      <c r="B11" s="8"/>
      <c r="C11" s="10" t="str">
        <f aca="false">IFERROR(IF(B11="","",B11*Upute!$B$14),"")</f>
        <v/>
      </c>
      <c r="D11" s="18"/>
      <c r="E11" s="10" t="str">
        <f aca="false">IFERROR(IF(C11="","",C11-D11),"")</f>
        <v/>
      </c>
      <c r="F11" s="7"/>
    </row>
    <row r="12" customFormat="false" ht="24" hidden="false" customHeight="true" outlineLevel="0" collapsed="false">
      <c r="A12" s="8"/>
      <c r="B12" s="8"/>
      <c r="C12" s="10" t="str">
        <f aca="false">IFERROR(IF(B12="","",B12*Upute!$B$14),"")</f>
        <v/>
      </c>
      <c r="D12" s="18"/>
      <c r="E12" s="10" t="str">
        <f aca="false">IFERROR(IF(C12="","",C12-D12),"")</f>
        <v/>
      </c>
      <c r="F12" s="7"/>
    </row>
    <row r="13" customFormat="false" ht="24" hidden="false" customHeight="true" outlineLevel="0" collapsed="false">
      <c r="A13" s="8"/>
      <c r="B13" s="8"/>
      <c r="C13" s="10" t="str">
        <f aca="false">IFERROR(IF(B13="","",B13*Upute!$B$14),"")</f>
        <v/>
      </c>
      <c r="D13" s="18"/>
      <c r="E13" s="10" t="str">
        <f aca="false">IFERROR(IF(C13="","",C13-D13),"")</f>
        <v/>
      </c>
      <c r="F13" s="7"/>
    </row>
    <row r="14" customFormat="false" ht="24" hidden="false" customHeight="true" outlineLevel="0" collapsed="false">
      <c r="A14" s="8"/>
      <c r="B14" s="8"/>
      <c r="C14" s="10" t="str">
        <f aca="false">IFERROR(IF(B14="","",B14*Upute!$B$14),"")</f>
        <v/>
      </c>
      <c r="D14" s="18"/>
      <c r="E14" s="10" t="str">
        <f aca="false">IFERROR(IF(C14="","",C14-D14),"")</f>
        <v/>
      </c>
      <c r="F14" s="7"/>
    </row>
    <row r="15" customFormat="false" ht="24" hidden="false" customHeight="true" outlineLevel="0" collapsed="false">
      <c r="A15" s="8"/>
      <c r="B15" s="8"/>
      <c r="C15" s="10" t="str">
        <f aca="false">IFERROR(IF(B15="","",B15*Upute!$B$14),"")</f>
        <v/>
      </c>
      <c r="D15" s="18"/>
      <c r="E15" s="10" t="str">
        <f aca="false">IFERROR(IF(C15="","",C15-D15),"")</f>
        <v/>
      </c>
      <c r="F15" s="7"/>
    </row>
    <row r="16" customFormat="false" ht="24" hidden="false" customHeight="true" outlineLevel="0" collapsed="false">
      <c r="A16" s="8"/>
      <c r="B16" s="8"/>
      <c r="C16" s="10" t="str">
        <f aca="false">IFERROR(IF(B16="","",B16*Upute!$B$14),"")</f>
        <v/>
      </c>
      <c r="D16" s="18"/>
      <c r="E16" s="10" t="str">
        <f aca="false">IFERROR(IF(C16="","",C16-D16),"")</f>
        <v/>
      </c>
      <c r="F16" s="7"/>
    </row>
    <row r="17" customFormat="false" ht="24" hidden="false" customHeight="true" outlineLevel="0" collapsed="false">
      <c r="A17" s="8"/>
      <c r="B17" s="8"/>
      <c r="C17" s="10" t="str">
        <f aca="false">IFERROR(IF(B17="","",B17*Upute!$B$14),"")</f>
        <v/>
      </c>
      <c r="D17" s="18"/>
      <c r="E17" s="10" t="str">
        <f aca="false">IFERROR(IF(C17="","",C17-D17),"")</f>
        <v/>
      </c>
      <c r="F17" s="7"/>
    </row>
    <row r="18" customFormat="false" ht="24" hidden="false" customHeight="true" outlineLevel="0" collapsed="false">
      <c r="A18" s="8"/>
      <c r="B18" s="8"/>
      <c r="C18" s="10" t="str">
        <f aca="false">IFERROR(IF(B18="","",B18*Upute!$B$14),"")</f>
        <v/>
      </c>
      <c r="D18" s="18"/>
      <c r="E18" s="10" t="str">
        <f aca="false">IFERROR(IF(C18="","",C18-D18),"")</f>
        <v/>
      </c>
      <c r="F18" s="7"/>
    </row>
    <row r="19" customFormat="false" ht="24" hidden="false" customHeight="true" outlineLevel="0" collapsed="false">
      <c r="A19" s="8"/>
      <c r="B19" s="8"/>
      <c r="C19" s="10" t="str">
        <f aca="false">IFERROR(IF(B19="","",B19*Upute!$B$14),"")</f>
        <v/>
      </c>
      <c r="D19" s="18"/>
      <c r="E19" s="10" t="str">
        <f aca="false">IFERROR(IF(C19="","",C19-D19),"")</f>
        <v/>
      </c>
      <c r="F19" s="7"/>
    </row>
    <row r="20" customFormat="false" ht="24" hidden="false" customHeight="true" outlineLevel="0" collapsed="false">
      <c r="A20" s="8"/>
      <c r="B20" s="8"/>
      <c r="C20" s="10" t="str">
        <f aca="false">IFERROR(IF(B20="","",B20*Upute!$B$14),"")</f>
        <v/>
      </c>
      <c r="D20" s="18"/>
      <c r="E20" s="10" t="str">
        <f aca="false">IFERROR(IF(C20="","",C20-D20),"")</f>
        <v/>
      </c>
      <c r="F20" s="7"/>
    </row>
    <row r="21" customFormat="false" ht="24" hidden="false" customHeight="true" outlineLevel="0" collapsed="false">
      <c r="A21" s="8"/>
      <c r="B21" s="8"/>
      <c r="C21" s="10" t="str">
        <f aca="false">IFERROR(IF(B21="","",B21*Upute!$B$14),"")</f>
        <v/>
      </c>
      <c r="D21" s="18"/>
      <c r="E21" s="10" t="str">
        <f aca="false">IFERROR(IF(C21="","",C21-D21),"")</f>
        <v/>
      </c>
      <c r="F21" s="7"/>
    </row>
    <row r="22" customFormat="false" ht="24" hidden="false" customHeight="true" outlineLevel="0" collapsed="false">
      <c r="A22" s="8"/>
      <c r="B22" s="8"/>
      <c r="C22" s="10" t="str">
        <f aca="false">IFERROR(IF(B22="","",B22*Upute!$B$14),"")</f>
        <v/>
      </c>
      <c r="D22" s="18"/>
      <c r="E22" s="10" t="str">
        <f aca="false">IFERROR(IF(C22="","",C22-D22),"")</f>
        <v/>
      </c>
      <c r="F22" s="7"/>
    </row>
    <row r="23" customFormat="false" ht="24" hidden="false" customHeight="true" outlineLevel="0" collapsed="false">
      <c r="A23" s="8"/>
      <c r="B23" s="8"/>
      <c r="C23" s="10" t="str">
        <f aca="false">IFERROR(IF(B23="","",B23*Upute!$B$14),"")</f>
        <v/>
      </c>
      <c r="D23" s="18"/>
      <c r="E23" s="10" t="str">
        <f aca="false">IFERROR(IF(C23="","",C23-D23),"")</f>
        <v/>
      </c>
      <c r="F23" s="7"/>
    </row>
    <row r="24" customFormat="false" ht="24" hidden="false" customHeight="true" outlineLevel="0" collapsed="false">
      <c r="A24" s="8"/>
      <c r="B24" s="8"/>
      <c r="C24" s="10" t="str">
        <f aca="false">IFERROR(IF(B24="","",B24*Upute!$B$14),"")</f>
        <v/>
      </c>
      <c r="D24" s="18"/>
      <c r="E24" s="10" t="str">
        <f aca="false">IFERROR(IF(C24="","",C24-D24),"")</f>
        <v/>
      </c>
      <c r="F24" s="7"/>
    </row>
    <row r="25" customFormat="false" ht="24" hidden="false" customHeight="true" outlineLevel="0" collapsed="false">
      <c r="A25" s="8"/>
      <c r="B25" s="8"/>
      <c r="C25" s="10" t="str">
        <f aca="false">IFERROR(IF(B25="","",B25*Upute!$B$14),"")</f>
        <v/>
      </c>
      <c r="D25" s="18"/>
      <c r="E25" s="10" t="str">
        <f aca="false">IFERROR(IF(C25="","",C25-D25),"")</f>
        <v/>
      </c>
      <c r="F25" s="7"/>
    </row>
    <row r="26" customFormat="false" ht="24" hidden="false" customHeight="true" outlineLevel="0" collapsed="false">
      <c r="A26" s="8"/>
      <c r="B26" s="8"/>
      <c r="C26" s="10" t="str">
        <f aca="false">IFERROR(IF(B26="","",B26*Upute!$B$14),"")</f>
        <v/>
      </c>
      <c r="D26" s="18"/>
      <c r="E26" s="10" t="str">
        <f aca="false">IFERROR(IF(C26="","",C26-D26),"")</f>
        <v/>
      </c>
      <c r="F26" s="7"/>
    </row>
    <row r="27" customFormat="false" ht="24" hidden="false" customHeight="true" outlineLevel="0" collapsed="false">
      <c r="A27" s="8"/>
      <c r="B27" s="8"/>
      <c r="C27" s="10" t="str">
        <f aca="false">IFERROR(IF(B27="","",B27*Upute!$B$14),"")</f>
        <v/>
      </c>
      <c r="D27" s="18"/>
      <c r="E27" s="10" t="str">
        <f aca="false">IFERROR(IF(C27="","",C27-D27),"")</f>
        <v/>
      </c>
      <c r="F27" s="7"/>
    </row>
    <row r="28" customFormat="false" ht="24" hidden="false" customHeight="true" outlineLevel="0" collapsed="false">
      <c r="A28" s="8"/>
      <c r="B28" s="8"/>
      <c r="C28" s="10" t="str">
        <f aca="false">IFERROR(IF(B28="","",B28*Upute!$B$14),"")</f>
        <v/>
      </c>
      <c r="D28" s="18"/>
      <c r="E28" s="10" t="str">
        <f aca="false">IFERROR(IF(C28="","",C28-D28),"")</f>
        <v/>
      </c>
      <c r="F28" s="7"/>
    </row>
    <row r="29" customFormat="false" ht="15" hidden="false" customHeight="false" outlineLevel="0" collapsed="false">
      <c r="A29" s="13" t="s">
        <v>41</v>
      </c>
      <c r="B29" s="15" t="n">
        <f aca="false">SUM(B5:B28)</f>
        <v>18</v>
      </c>
      <c r="C29" s="16" t="n">
        <f aca="false">SUM(C5:C28)</f>
        <v>720</v>
      </c>
      <c r="D29" s="16" t="n">
        <f aca="false">SUM(D5:D28)</f>
        <v>45</v>
      </c>
      <c r="E29" s="16" t="n">
        <f aca="false">SUM(E5:E28)</f>
        <v>675</v>
      </c>
      <c r="F2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24" hidden="false" customHeight="true" outlineLevel="0" collapsed="false">
      <c r="A4" s="19" t="s">
        <v>56</v>
      </c>
      <c r="B4" s="20" t="n">
        <f aca="false">COUNTA(Procesi!A5:A24)</f>
        <v>3</v>
      </c>
      <c r="C4" s="21" t="s">
        <v>57</v>
      </c>
    </row>
    <row r="5" customFormat="false" ht="24" hidden="false" customHeight="true" outlineLevel="0" collapsed="false">
      <c r="A5" s="19" t="s">
        <v>58</v>
      </c>
      <c r="B5" s="9" t="n">
        <f aca="false">Procesi!G25</f>
        <v>25</v>
      </c>
      <c r="C5" s="21" t="s">
        <v>59</v>
      </c>
    </row>
    <row r="6" customFormat="false" ht="24" hidden="false" customHeight="true" outlineLevel="0" collapsed="false">
      <c r="A6" s="19" t="s">
        <v>60</v>
      </c>
      <c r="B6" s="10" t="n">
        <f aca="false">Procesi!H25</f>
        <v>1000</v>
      </c>
      <c r="C6" s="21" t="s">
        <v>61</v>
      </c>
    </row>
    <row r="7" customFormat="false" ht="24" hidden="false" customHeight="true" outlineLevel="0" collapsed="false">
      <c r="A7" s="19" t="s">
        <v>62</v>
      </c>
      <c r="B7" s="10" t="n">
        <f aca="false">Procesi!J25</f>
        <v>9</v>
      </c>
      <c r="C7" s="21" t="s">
        <v>63</v>
      </c>
    </row>
    <row r="8" customFormat="false" ht="24" hidden="false" customHeight="true" outlineLevel="0" collapsed="false">
      <c r="A8" s="19" t="s">
        <v>64</v>
      </c>
      <c r="B8" s="10" t="n">
        <f aca="false">Procesi!K25</f>
        <v>991</v>
      </c>
      <c r="C8" s="21" t="s">
        <v>65</v>
      </c>
    </row>
    <row r="9" customFormat="false" ht="24" hidden="false" customHeight="true" outlineLevel="0" collapsed="false">
      <c r="A9" s="19" t="s">
        <v>66</v>
      </c>
      <c r="B9" s="9" t="n">
        <f aca="false">Procesi!I25</f>
        <v>11</v>
      </c>
      <c r="C9" s="21" t="s">
        <v>67</v>
      </c>
    </row>
    <row r="10" customFormat="false" ht="24" hidden="false" customHeight="true" outlineLevel="0" collapsed="false">
      <c r="A10" s="19" t="s">
        <v>68</v>
      </c>
      <c r="B10" s="10" t="n">
        <f aca="false">IFERROR(Procesi!I25*Upute!$B$14,"")</f>
        <v>440</v>
      </c>
      <c r="C10" s="21" t="s">
        <v>69</v>
      </c>
    </row>
    <row r="11" customFormat="false" ht="24" hidden="false" customHeight="true" outlineLevel="0" collapsed="false">
      <c r="A11" s="19" t="s">
        <v>70</v>
      </c>
      <c r="B11" s="12" t="n">
        <f aca="false">IFERROR(IF(Procesi!K25&lt;=0,"",Procesi!I25*Upute!$B$14/Procesi!K25),"")</f>
        <v>0.443995963673058</v>
      </c>
      <c r="C11" s="21" t="s">
        <v>71</v>
      </c>
    </row>
    <row r="13" customFormat="false" ht="24" hidden="false" customHeight="true" outlineLevel="0" collapsed="false">
      <c r="A13" s="22" t="s">
        <v>72</v>
      </c>
      <c r="B13" s="23" t="n">
        <f aca="false">Mjesečno!B29</f>
        <v>18</v>
      </c>
      <c r="C13" s="21" t="s">
        <v>73</v>
      </c>
    </row>
    <row r="14" customFormat="false" ht="24" hidden="false" customHeight="true" outlineLevel="0" collapsed="false">
      <c r="A14" s="22" t="s">
        <v>74</v>
      </c>
      <c r="B14" s="24" t="n">
        <f aca="false">Mjesečno!E29</f>
        <v>675</v>
      </c>
      <c r="C14" s="21" t="s">
        <v>75</v>
      </c>
    </row>
    <row r="15" customFormat="false" ht="24" hidden="false" customHeight="true" outlineLevel="0" collapsed="false">
      <c r="A15" s="19" t="s">
        <v>76</v>
      </c>
      <c r="B15" s="20" t="n">
        <f aca="false">COUNTA(Mjesečno!A5:A28)</f>
        <v>1</v>
      </c>
      <c r="C15" s="21" t="s">
        <v>77</v>
      </c>
    </row>
    <row r="16" customFormat="false" ht="24" hidden="false" customHeight="true" outlineLevel="0" collapsed="false">
      <c r="A16" s="19" t="s">
        <v>78</v>
      </c>
      <c r="B16" s="10" t="n">
        <f aca="false">IFERROR(Mjesečno!E29/COUNTA(Mjesečno!A5:A28),"")</f>
        <v>675</v>
      </c>
      <c r="C16" s="21" t="s">
        <v>79</v>
      </c>
    </row>
    <row r="18" customFormat="false" ht="15" hidden="false" customHeight="false" outlineLevel="0" collapsed="false">
      <c r="A18" s="25" t="s">
        <v>80</v>
      </c>
    </row>
    <row r="19" customFormat="false" ht="30" hidden="false" customHeight="true" outlineLevel="0" collapsed="false">
      <c r="A19" s="17" t="s">
        <v>81</v>
      </c>
      <c r="B19" s="17"/>
      <c r="C19" s="17"/>
    </row>
    <row r="20" customFormat="false" ht="30" hidden="false" customHeight="true" outlineLevel="0" collapsed="false">
      <c r="A20" s="17" t="s">
        <v>82</v>
      </c>
      <c r="B20" s="17"/>
      <c r="C20" s="17"/>
    </row>
    <row r="21" customFormat="false" ht="30" hidden="false" customHeight="true" outlineLevel="0" collapsed="false">
      <c r="A21" s="17" t="s">
        <v>83</v>
      </c>
      <c r="B21" s="17"/>
      <c r="C21" s="17"/>
    </row>
  </sheetData>
  <mergeCells count="3"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2026-09-07T05:01:47Z</dcterms:created>
  <dc:creator>openpyxl</dc:creator>
  <dc:description/>
  <dc:language>en-US</dc:language>
  <cp:lastModifiedBy/>
  <dcterms:modified xsi:type="dcterms:W3CDTF">2026-09-07T05:01:47Z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